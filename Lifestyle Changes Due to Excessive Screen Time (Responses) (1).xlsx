
<file path=[Content_Types].xml><?xml version="1.0" encoding="utf-8"?>
<Types xmlns="http://schemas.openxmlformats.org/package/2006/content-types">
  <Default ContentType="application/xml" Extension="xml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pivotCacheDefinition+xml" PartName="/xl/pivotCache/pivotCacheDefinition1.xml"/>
  <Override ContentType="application/vnd.openxmlformats-officedocument.spreadsheetml.table+xml" PartName="/xl/tables/table1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pivotTable+xml" PartName="/xl/pivotTables/pivotTable1.xml"/>
  <Override ContentType="application/vnd.openxmlformats-officedocument.spreadsheetml.sharedStrings+xml" PartName="/xl/sharedStrings.xml"/>
  <Override ContentType="application/vnd.openxmlformats-officedocument.drawing+xml" PartName="/xl/drawings/drawing1.xml"/>
  <Override ContentType="application/vnd.openxmlformats-officedocument.drawing+xml" PartName="/xl/drawings/drawing2.xml"/>
  <Override ContentType="application/vnd.ms-excel.person+xml" PartName="/xl/persons/person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Form Responses 1" sheetId="1" r:id="rId5"/>
    <sheet state="visible" name="Sheet1" sheetId="2" r:id="rId6"/>
  </sheets>
  <definedNames/>
  <calcPr/>
  <pivotCaches>
    <pivotCache cacheId="0" r:id="rId7"/>
  </pivotCaches>
</workbook>
</file>

<file path=xl/sharedStrings.xml><?xml version="1.0" encoding="utf-8"?>
<sst xmlns="http://schemas.openxmlformats.org/spreadsheetml/2006/main" count="852" uniqueCount="125">
  <si>
    <t>Timestamp</t>
  </si>
  <si>
    <t>SECTION 1 – Demographic &amp; Body Metrics</t>
  </si>
  <si>
    <t>What is your age group?</t>
  </si>
  <si>
    <t>What is your gender?</t>
  </si>
  <si>
    <t>What is your primary occupation?</t>
  </si>
  <si>
    <t>Your Height (in centimeters, e.g., 170)</t>
  </si>
  <si>
    <t>Your Weight (in kilograms, e.g., 75)</t>
  </si>
  <si>
    <t>SECTION 2 – Screen Time</t>
  </si>
  <si>
    <t>On an average day, how much time do you spend on your mobile phone for non-productive activities?</t>
  </si>
  <si>
    <t>On an average day, how much time do you spend using other devices (PC, Laptop, Tablet, TV) for non-productive activities?</t>
  </si>
  <si>
    <t>SECTION 3 – Eye Health</t>
  </si>
  <si>
    <t>Do you wear prescription glasses or contact lenses?</t>
  </si>
  <si>
    <t>If you wear prescription glasses or contact lenses, please indicate your power/strength (or 'Prefer not to say').</t>
  </si>
  <si>
    <t>How often do you experience eye strain, dryness, or blurry vision after prolonged screen use?</t>
  </si>
  <si>
    <t>SECTION 4 – Physical Activity &amp; Posture</t>
  </si>
  <si>
    <t>How many days per week do you engage in moderate to vigorous physical activity (lasting at least 30 minutes)?</t>
  </si>
  <si>
    <t>How often do you take breaks to stretch or move around during long periods of screen use?</t>
  </si>
  <si>
    <t>Do you often experience back, neck, or shoulder pain which you attribute to sitting posture during screen use?</t>
  </si>
  <si>
    <t>SECTION 5 – Food Habits &amp; Meals</t>
  </si>
  <si>
    <t>Do you use a screen (mobile, TV, tablet, etc.) during most of your main meals (breakfast, lunch, dinner)?</t>
  </si>
  <si>
    <t>If you use screens during meals, do you still actively interact with family members or co-diners?</t>
  </si>
  <si>
    <t>SECTION 6 – Sleep</t>
  </si>
  <si>
    <t>How long do you typically sleep per night?</t>
  </si>
  <si>
    <t>How often do you use a screen (phone, tablet, etc.) within 1 hour of going to bed?</t>
  </si>
  <si>
    <t>Do you check your phone within an hour after waking up in the morning?</t>
  </si>
  <si>
    <t>SECTION 7 – Mental Health</t>
  </si>
  <si>
    <t>Please rate your agreement with the following statements on a scale of 1 to 5. [I find it difficult to concentrate on tasks due to a desire to check my screen.]</t>
  </si>
  <si>
    <t>Please rate your agreement with the following statements on a scale of 1 to 5. [I often prioritize screen time over real-world social interactions or responsibilities.]</t>
  </si>
  <si>
    <t>Please rate your agreement with the following statements on a scale of 1 to 5. [I feel isolated or disconnected from others despite being constantly connected online.]</t>
  </si>
  <si>
    <t>Please rate your agreement with the following statements on a scale of 1 to 5. [I often stay up later than intended because of screen use.]</t>
  </si>
  <si>
    <t>Please rate your agreement with the following statements on a scale of 1 to 5. [I feel a sense of guilt or regret about my screen time habits.]</t>
  </si>
  <si>
    <t>Please rate your agreement with the following statements on a scale of 1 to 5. [I believe excessive screen time negatively affects my mood.]</t>
  </si>
  <si>
    <t>Please rate your agreement with the following statements on a scale of 1 to 5. [I feel overwhelmed by the amount of information consumed online.]</t>
  </si>
  <si>
    <t>BMI</t>
  </si>
  <si>
    <t>BMI Category</t>
  </si>
  <si>
    <t>Total Screen Time (Approx. Hours)</t>
  </si>
  <si>
    <t>Total Screen Time Range</t>
  </si>
  <si>
    <t>18-24 years</t>
  </si>
  <si>
    <t>Female</t>
  </si>
  <si>
    <t>Student</t>
  </si>
  <si>
    <t>4–6 hours</t>
  </si>
  <si>
    <t>6–8 hours</t>
  </si>
  <si>
    <t>Yes</t>
  </si>
  <si>
    <t xml:space="preserve">-1 both eyes </t>
  </si>
  <si>
    <t>Rarely</t>
  </si>
  <si>
    <t>3-4 days</t>
  </si>
  <si>
    <t>Often</t>
  </si>
  <si>
    <t>Sometimes</t>
  </si>
  <si>
    <t>7–8 hours</t>
  </si>
  <si>
    <t>Male</t>
  </si>
  <si>
    <t>&lt; 2 hours</t>
  </si>
  <si>
    <t>No</t>
  </si>
  <si>
    <t>1-2 days</t>
  </si>
  <si>
    <t>Yes, always</t>
  </si>
  <si>
    <t>6–7 hours</t>
  </si>
  <si>
    <t>Every night</t>
  </si>
  <si>
    <t>Always</t>
  </si>
  <si>
    <t>1h58min</t>
  </si>
  <si>
    <t>2–4 hours</t>
  </si>
  <si>
    <t>5-7 days</t>
  </si>
  <si>
    <t>Never</t>
  </si>
  <si>
    <t>5 hrs 43 min</t>
  </si>
  <si>
    <t>Good</t>
  </si>
  <si>
    <t>0 days</t>
  </si>
  <si>
    <t>5 hrs</t>
  </si>
  <si>
    <t>I will do exercise and sometimes yoga</t>
  </si>
  <si>
    <t xml:space="preserve">I prefer indian food and sometimes I do eat junk food </t>
  </si>
  <si>
    <t>No, I focus on the screen</t>
  </si>
  <si>
    <t>5 -6 hrs</t>
  </si>
  <si>
    <t>4hours</t>
  </si>
  <si>
    <t>6hrs</t>
  </si>
  <si>
    <t>5–6 hours</t>
  </si>
  <si>
    <t>&gt; 8 hours</t>
  </si>
  <si>
    <t>8hrs</t>
  </si>
  <si>
    <t>Eye sight</t>
  </si>
  <si>
    <t>Every 20-30 minutes</t>
  </si>
  <si>
    <t>Not applicable (I usually eat alone)</t>
  </si>
  <si>
    <t>&lt; 5 hours</t>
  </si>
  <si>
    <t>45-54 years</t>
  </si>
  <si>
    <t>Business</t>
  </si>
  <si>
    <t>3 hours</t>
  </si>
  <si>
    <t>Nil</t>
  </si>
  <si>
    <t>-0.75, -1.75</t>
  </si>
  <si>
    <t>Prefer not to say</t>
  </si>
  <si>
    <t>-2 both</t>
  </si>
  <si>
    <t>-1 in both eyes</t>
  </si>
  <si>
    <t>35-44 years</t>
  </si>
  <si>
    <t>Teacher</t>
  </si>
  <si>
    <t>5 hr</t>
  </si>
  <si>
    <t xml:space="preserve">Sitting </t>
  </si>
  <si>
    <t>CJ</t>
  </si>
  <si>
    <t xml:space="preserve">5 hr </t>
  </si>
  <si>
    <t xml:space="preserve">Healthy </t>
  </si>
  <si>
    <t>~ 5-6 hours (including coding)</t>
  </si>
  <si>
    <t>-5(R) and -5.5(L)</t>
  </si>
  <si>
    <t>Mobile - 1:45 to 2:15</t>
  </si>
  <si>
    <t xml:space="preserve">I have 1.5 D both of eyes for which I got lens which was 1yr ago </t>
  </si>
  <si>
    <t xml:space="preserve">I q as doing physical activity but now due to semester pressure I have decreased it but I do practice meditation for 7 min daily and I will start to exercise again from next year </t>
  </si>
  <si>
    <t xml:space="preserve">I normally go to sleep at 12 and wake up at 630 so I use phone sometimes at night before 1hr and at morning for meditation I use phone </t>
  </si>
  <si>
    <t xml:space="preserve">My mental health is stable not much depressed and not fully happy I am satisfied with my life but aim and practise for more </t>
  </si>
  <si>
    <t>-5.5 - Both Eyes</t>
  </si>
  <si>
    <t>25-34 years</t>
  </si>
  <si>
    <t>I have Myopia</t>
  </si>
  <si>
    <t>- 2.00 cyl in both eyes</t>
  </si>
  <si>
    <t>-2.0, -1.75</t>
  </si>
  <si>
    <t xml:space="preserve">4 hours </t>
  </si>
  <si>
    <t>Moderate</t>
  </si>
  <si>
    <t>Not to say</t>
  </si>
  <si>
    <t xml:space="preserve">Mechanic </t>
  </si>
  <si>
    <t xml:space="preserve">House wife </t>
  </si>
  <si>
    <t xml:space="preserve">Tailor </t>
  </si>
  <si>
    <t>House wife</t>
  </si>
  <si>
    <t>4 hour</t>
  </si>
  <si>
    <t>.⁹</t>
  </si>
  <si>
    <t>.</t>
  </si>
  <si>
    <t>Bad</t>
  </si>
  <si>
    <t>mean</t>
  </si>
  <si>
    <t xml:space="preserve">median </t>
  </si>
  <si>
    <t>mode</t>
  </si>
  <si>
    <t>COUNTA of Timestamp</t>
  </si>
  <si>
    <t>Grand Total</t>
  </si>
  <si>
    <t>&lt; 4 hours</t>
  </si>
  <si>
    <t>&gt; 12 hours</t>
  </si>
  <si>
    <t>4-8 hours</t>
  </si>
  <si>
    <t>8-12 hours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</si>
</sst>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numFmts count="1">
    <numFmt numFmtId="164" formatCode="m/d/yyyy h:mm:ss"/>
  </numFmts>
  <fonts count="3">
    <font>
      <sz val="10.0"/>
      <color rgb="FF000000"/>
      <name val="Arial"/>
      <scheme val="minor"/>
    </font>
    <font>
      <color theme="1"/>
      <name val="Arial"/>
      <scheme val="minor"/>
    </font>
    <font>
      <color rgb="FF1F1F1F"/>
      <name val="&quot;Google Sans Mono&quot;"/>
    </font>
  </fonts>
  <fills count="3">
    <fill>
      <patternFill patternType="none"/>
    </fill>
    <fill>
      <patternFill patternType="lightGray"/>
    </fill>
    <fill>
      <patternFill patternType="solid">
        <fgColor rgb="FFF0F4F9"/>
        <bgColor rgb="FFF0F4F9"/>
      </patternFill>
    </fill>
  </fills>
  <borders count="1">
    <border/>
  </borders>
  <cellStyleXfs count="1">
    <xf borderId="0" fillId="0" fontId="0" numFmtId="0" applyAlignment="1" applyFont="1"/>
  </cellStyleXfs>
  <cellXfs count="8">
    <xf borderId="0" fillId="0" fontId="0" numFmtId="0" xfId="0" applyAlignment="1" applyFont="1">
      <alignment readingOrder="0" shrinkToFit="0" vertical="bottom" wrapText="0"/>
    </xf>
    <xf borderId="0" fillId="0" fontId="1" numFmtId="0" xfId="0" applyAlignment="1" applyFont="1">
      <alignment horizontal="left" readingOrder="0" shrinkToFit="0" vertical="center" wrapText="0"/>
    </xf>
    <xf borderId="0" fillId="0" fontId="1" numFmtId="164" xfId="0" applyAlignment="1" applyFont="1" applyNumberFormat="1">
      <alignment readingOrder="0" shrinkToFit="0" vertical="center" wrapText="0"/>
    </xf>
    <xf borderId="0" fillId="0" fontId="1" numFmtId="0" xfId="0" applyAlignment="1" applyFont="1">
      <alignment shrinkToFit="0" vertical="center" wrapText="0"/>
    </xf>
    <xf borderId="0" fillId="0" fontId="1" numFmtId="0" xfId="0" applyAlignment="1" applyFont="1">
      <alignment readingOrder="0" shrinkToFit="0" vertical="center" wrapText="0"/>
    </xf>
    <xf borderId="0" fillId="2" fontId="2" numFmtId="0" xfId="0" applyAlignment="1" applyFill="1" applyFont="1">
      <alignment shrinkToFit="0" vertical="center" wrapText="0"/>
    </xf>
    <xf borderId="0" fillId="0" fontId="1" numFmtId="0" xfId="0" applyAlignment="1" applyFont="1">
      <alignment readingOrder="0"/>
    </xf>
    <xf borderId="0" fillId="0" fontId="1" numFmtId="0" xfId="0" applyFont="1"/>
  </cellXfs>
  <cellStyles count="1">
    <cellStyle xfId="0" name="Normal" builtinId="0"/>
  </cellStyles>
  <dxfs count="11">
    <dxf>
      <font/>
      <fill>
        <patternFill patternType="none"/>
      </fill>
      <border/>
    </dxf>
    <dxf>
      <font/>
      <fill>
        <patternFill patternType="solid">
          <fgColor rgb="FF5B3F86"/>
          <bgColor rgb="FF5B3F86"/>
        </patternFill>
      </fill>
      <border/>
    </dxf>
    <dxf>
      <font/>
      <fill>
        <patternFill patternType="solid">
          <fgColor rgb="FFFFFFFF"/>
          <bgColor rgb="FFFFFFFF"/>
        </patternFill>
      </fill>
      <border/>
    </dxf>
    <dxf>
      <font/>
      <fill>
        <patternFill patternType="solid">
          <fgColor rgb="FFF8F9FA"/>
          <bgColor rgb="FFF8F9FA"/>
        </patternFill>
      </fill>
      <border/>
    </dxf>
    <dxf>
      <border>
        <left style="thin">
          <color rgb="FF5B3F86"/>
        </left>
        <right style="thin">
          <color rgb="FF5B3F86"/>
        </right>
        <top style="thin">
          <color rgb="FF5B3F86"/>
        </top>
        <bottom style="thin">
          <color rgb="FF5B3F86"/>
        </bottom>
      </border>
    </dxf>
    <dxf>
      <font/>
      <fill>
        <patternFill patternType="none"/>
      </fill>
      <border/>
    </dxf>
    <dxf>
      <font>
        <color rgb="FF000000"/>
      </font>
      <fill>
        <patternFill patternType="solid">
          <fgColor rgb="FFFFFFFF"/>
          <bgColor rgb="FFFFFFFF"/>
        </patternFill>
      </fill>
      <border/>
    </dxf>
    <dxf>
      <font>
        <color rgb="FF000000"/>
      </font>
      <fill>
        <patternFill patternType="solid">
          <fgColor rgb="FFF3F3F3"/>
          <bgColor rgb="FFF3F3F3"/>
        </patternFill>
      </fill>
      <border>
        <right style="thin">
          <color rgb="FFFFFFFF"/>
        </right>
      </border>
    </dxf>
    <dxf>
      <font>
        <color rgb="FFFFFFFF"/>
      </font>
      <fill>
        <patternFill patternType="solid">
          <fgColor rgb="FF666666"/>
          <bgColor rgb="FF666666"/>
        </patternFill>
      </fill>
      <border>
        <bottom style="thin">
          <color rgb="FFFFFFFF"/>
        </bottom>
      </border>
    </dxf>
    <dxf>
      <font>
        <color rgb="FF000000"/>
      </font>
      <fill>
        <patternFill patternType="solid">
          <fgColor rgb="FFD9D9D9"/>
          <bgColor rgb="FFD9D9D9"/>
        </patternFill>
      </fill>
      <border>
        <top style="thin">
          <color rgb="FFFFFFFF"/>
        </top>
      </border>
    </dxf>
    <dxf>
      <font>
        <b/>
        <color rgb="FF000000"/>
      </font>
      <fill>
        <patternFill patternType="solid">
          <fgColor rgb="FFD9D9D9"/>
          <bgColor rgb="FFD9D9D9"/>
        </patternFill>
      </fill>
      <border>
        <top style="double">
          <color rgb="FF000000"/>
        </top>
      </border>
    </dxf>
  </dxfs>
  <tableStyles count="2">
    <tableStyle count="4" pivot="0" name="Form Responses 1-style">
      <tableStyleElement dxfId="1" type="headerRow"/>
      <tableStyleElement dxfId="2" type="firstRowStripe"/>
      <tableStyleElement dxfId="3" type="secondRowStripe"/>
      <tableStyleElement dxfId="4" size="0" type="wholeTable"/>
    </tableStyle>
    <tableStyle count="12" table="0" name="Google Sheets Pivot Table Style">
      <tableStyleElement dxfId="6" type="wholeTable"/>
      <tableStyleElement dxfId="7" type="firstRowSubheading"/>
      <tableStyleElement dxfId="7" type="secondRowSubheading"/>
      <tableStyleElement dxfId="7" type="thirdRowSubheading"/>
      <tableStyleElement dxfId="8" type="firstColumnSubheading"/>
      <tableStyleElement dxfId="8" type="secondColumnSubheading"/>
      <tableStyleElement dxfId="8" type="thirdColumnSubheading"/>
      <tableStyleElement dxfId="8" type="headerRow"/>
      <tableStyleElement dxfId="9" type="firstSubtotalRow"/>
      <tableStyleElement dxfId="9" type="secondSubtotalRow"/>
      <tableStyleElement dxfId="9" type="thirdSubtotalRow"/>
      <tableStyleElement dxfId="10" type="totalRow"/>
    </tableStyle>
  </tableStyles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microsoft.com/office/2017/10/relationships/person" Target="persons/person.xml"/><Relationship Id="rId5" Type="http://schemas.openxmlformats.org/officeDocument/2006/relationships/worksheet" Target="worksheets/sheet1.xml"/><Relationship Id="rId6" Type="http://schemas.openxmlformats.org/officeDocument/2006/relationships/worksheet" Target="worksheets/sheet2.xml"/><Relationship Id="rId7" Type="http://schemas.openxmlformats.org/officeDocument/2006/relationships/pivotCacheDefinition" Target="pivotCache/pivotCacheDefinition1.xml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2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persons/person.xml><?xml version="1.0" encoding="utf-8"?>
<x18tc:personList xmlns:x18tc="http://schemas.microsoft.com/office/spreadsheetml/2018/threadedcomments"/>
</file>

<file path=xl/pivotCache/_rels/pivotCacheDefinition1.xml.rels><?xml version="1.0" encoding="UTF-8" standalone="yes"?><Relationships xmlns="http://schemas.openxmlformats.org/package/2006/relationships"><Relationship Type="http://schemas.openxmlformats.org/officeDocument/2006/relationships/externalLinkPath" TargetMode="External"/></Relationships>
</file>

<file path=xl/pivotCache/pivotCacheDefinition1.xml><?xml version="1.0" encoding="utf-8"?>
<pivotCacheDefinition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 invalid="1" refreshOnLoad="1">
  <cacheSource type="worksheet">
    <worksheetSource ref="A1:AK51" sheet="Form Responses 1"/>
  </cacheSource>
  <cacheFields>
    <cacheField name="Timestamp" numFmtId="164">
      <sharedItems containsSemiMixedTypes="0" containsDate="1" containsString="0">
        <d v="2025-12-22T21:52:41Z"/>
        <d v="2025-12-22T21:54:46Z"/>
        <d v="2025-12-22T21:59:08Z"/>
        <d v="2025-12-22T22:00:41Z"/>
        <d v="2025-12-22T22:01:11Z"/>
        <d v="2025-12-22T22:02:02Z"/>
        <d v="2025-12-22T22:02:34Z"/>
        <d v="2025-12-22T22:04:01Z"/>
        <d v="2025-12-22T22:06:19Z"/>
        <d v="2025-12-22T22:06:57Z"/>
        <d v="2025-12-22T22:07:47Z"/>
        <d v="2025-12-22T22:08:50Z"/>
        <d v="2025-12-22T22:09:58Z"/>
        <d v="2025-12-22T22:12:08Z"/>
        <d v="2025-12-22T22:12:45Z"/>
        <d v="2025-12-22T22:15:08Z"/>
        <d v="2025-12-22T22:16:34Z"/>
        <d v="2025-12-22T22:21:19Z"/>
        <d v="2025-12-22T22:21:39Z"/>
        <d v="2025-12-22T22:25:34Z"/>
        <d v="2025-12-22T22:31:55Z"/>
        <d v="2025-12-22T22:34:32Z"/>
        <d v="2025-12-22T22:35:17Z"/>
        <d v="2025-12-22T22:35:21Z"/>
        <d v="2025-12-22T22:52:34Z"/>
        <d v="2025-12-22T23:45:28Z"/>
        <d v="2025-12-22T23:51:42Z"/>
        <d v="2025-12-22T23:57:56Z"/>
        <d v="2025-12-23T00:17:51Z"/>
        <d v="2025-12-23T01:17:35Z"/>
        <d v="2025-12-23T06:12:43Z"/>
        <d v="2025-12-23T06:19:56Z"/>
        <d v="2025-12-23T07:00:05Z"/>
        <d v="2025-12-23T08:18:26Z"/>
        <d v="2025-12-23T08:32:39Z"/>
        <d v="2025-12-23T08:49:49Z"/>
        <d v="2025-12-23T09:31:38Z"/>
        <d v="2025-12-23T11:14:29Z"/>
        <d v="2025-12-23T12:17:50Z"/>
        <d v="2025-12-23T13:37:59Z"/>
        <d v="2025-12-23T14:09:28Z"/>
        <d v="2025-12-23T20:02:02Z"/>
        <d v="2025-12-23T21:04:25Z"/>
        <d v="2025-12-23T21:14:05Z"/>
        <d v="2025-12-23T22:19:48Z"/>
        <d v="2025-12-23T22:19:50Z"/>
        <d v="2025-12-24T23:01:34Z"/>
        <d v="2025-12-25T12:54:51Z"/>
        <d v="2025-12-26T03:26:37Z"/>
        <d v="2025-12-28T20:27:33Z"/>
      </sharedItems>
    </cacheField>
    <cacheField name="SECTION 1 – Demographic &amp; Body Metrics" numFmtId="0">
      <sharedItems containsBlank="1">
        <m/>
        <s v="CJ"/>
        <s v=".⁹"/>
      </sharedItems>
    </cacheField>
    <cacheField name="What is your age group?" numFmtId="0">
      <sharedItems>
        <s v="18-24 years"/>
        <s v="45-54 years"/>
        <s v="35-44 years"/>
        <s v="25-34 years"/>
      </sharedItems>
    </cacheField>
    <cacheField name="What is your gender?" numFmtId="0">
      <sharedItems>
        <s v="Female"/>
        <s v="Male"/>
        <s v="Prefer not to say"/>
      </sharedItems>
    </cacheField>
    <cacheField name="What is your primary occupation?" numFmtId="0">
      <sharedItems>
        <s v="Student"/>
        <s v="Business"/>
        <s v="Teacher"/>
        <s v="Mechanic "/>
        <s v="House wife "/>
        <s v="Tailor "/>
        <s v="House wife"/>
      </sharedItems>
    </cacheField>
    <cacheField name="Your Height (in centimeters, e.g., 170)" numFmtId="0">
      <sharedItems containsSemiMixedTypes="0" containsString="0" containsNumber="1">
        <n v="158.0"/>
        <n v="165.0"/>
        <n v="155.0"/>
        <n v="165.1"/>
        <n v="156.0"/>
        <n v="160.0"/>
        <n v="162.0"/>
        <n v="182.0"/>
        <n v="166.0"/>
        <n v="167.64"/>
        <n v="185.0"/>
        <n v="168.0"/>
        <n v="170.0"/>
        <n v="150.0"/>
        <n v="186.0"/>
        <n v="175.0"/>
        <n v="5.9"/>
        <n v="157.5"/>
        <n v="164.6"/>
        <n v="5.3"/>
        <n v="178.0"/>
        <n v="180.0"/>
      </sharedItems>
    </cacheField>
    <cacheField name="Your Weight (in kilograms, e.g., 75)" numFmtId="0">
      <sharedItems containsSemiMixedTypes="0" containsString="0" containsNumber="1">
        <n v="53.0"/>
        <n v="67.0"/>
        <n v="55.9"/>
        <n v="68.0"/>
        <n v="52.0"/>
        <n v="55.0"/>
        <n v="36.0"/>
        <n v="80.0"/>
        <n v="45.0"/>
        <n v="56.0"/>
        <n v="65.0"/>
        <n v="111.0"/>
        <n v="75.0"/>
        <n v="55.15"/>
        <n v="57.0"/>
        <n v="60.0"/>
        <n v="48.0"/>
        <n v="92.0"/>
        <n v="46.0"/>
        <n v="50.0"/>
        <n v="78.0"/>
        <n v="73.0"/>
        <n v="44.0"/>
        <n v="88.0"/>
        <n v="70.0"/>
        <n v="62.5"/>
        <n v="54.0"/>
        <n v="95.0"/>
        <n v="63.2"/>
      </sharedItems>
    </cacheField>
    <cacheField name="SECTION 2 – Screen Time">
      <sharedItems containsBlank="1" containsMixedTypes="1" containsNumber="1" containsInteger="1">
        <m/>
        <s v="1h58min"/>
        <s v="5 hrs 43 min"/>
        <s v="5 hrs"/>
        <s v="4hours"/>
        <s v="8hrs"/>
        <s v="3 hours"/>
        <s v="5 hr"/>
        <s v="5 hr "/>
        <s v="~ 5-6 hours (including coding)"/>
        <s v="Mobile - 1:45 to 2:15"/>
        <n v="8.0"/>
        <s v="4 hours "/>
        <n v="3.0"/>
        <n v="2.0"/>
        <s v="4 hour"/>
        <s v="."/>
      </sharedItems>
    </cacheField>
    <cacheField name="On an average day, how much time do you spend on your mobile phone for non-productive activities?" numFmtId="0">
      <sharedItems>
        <s v="4–6 hours"/>
        <s v="&lt; 2 hours"/>
        <s v="2–4 hours"/>
        <s v="&gt; 8 hours"/>
        <s v="6–8 hours"/>
      </sharedItems>
    </cacheField>
    <cacheField name="On an average day, how much time do you spend using other devices (PC, Laptop, Tablet, TV) for non-productive activities?" numFmtId="0">
      <sharedItems>
        <s v="6–8 hours"/>
        <s v="2–4 hours"/>
        <s v="&lt; 2 hours"/>
        <s v="4–6 hours"/>
      </sharedItems>
    </cacheField>
    <cacheField name="SECTION 3 – Eye Health" numFmtId="0">
      <sharedItems containsBlank="1">
        <m/>
        <s v="Good"/>
        <s v="No"/>
        <s v="Eye sight"/>
        <s v="Healthy "/>
        <s v="I have 1.5 D both of eyes for which I got lens which was 1yr ago "/>
        <s v="I have Myopia"/>
        <s v="Moderate"/>
        <s v="Bad"/>
      </sharedItems>
    </cacheField>
    <cacheField name="Do you wear prescription glasses or contact lenses?" numFmtId="0">
      <sharedItems>
        <s v="Yes"/>
        <s v="No"/>
      </sharedItems>
    </cacheField>
    <cacheField name="If you wear prescription glasses or contact lenses, please indicate your power/strength (or 'Prefer not to say').">
      <sharedItems containsBlank="1" containsMixedTypes="1" containsNumber="1">
        <s v="-1 both eyes "/>
        <m/>
        <s v="No"/>
        <n v="-0.75"/>
        <n v="-1.0"/>
        <s v="Nil"/>
        <n v="5.5"/>
        <s v="-0.75, -1.75"/>
        <n v="-1.5"/>
        <s v="-2 both"/>
        <n v="-4.0"/>
        <s v="-1 in both eyes"/>
        <n v="-3.5"/>
        <n v="-2.0"/>
        <s v="-5(R) and -5.5(L)"/>
        <n v="1.5"/>
        <s v="-5.5 - Both Eyes"/>
        <s v="- 2.00 cyl in both eyes"/>
        <s v="-2.0, -1.75"/>
        <n v="-1.75"/>
        <s v="Not to say"/>
      </sharedItems>
    </cacheField>
    <cacheField name="How often do you experience eye strain, dryness, or blurry vision after prolonged screen use?" numFmtId="0">
      <sharedItems>
        <s v="Rarely"/>
        <s v="Often"/>
        <s v="Sometimes"/>
        <s v="Always"/>
        <s v="Never"/>
      </sharedItems>
    </cacheField>
    <cacheField name="SECTION 4 – Physical Activity &amp; Posture" numFmtId="0">
      <sharedItems containsBlank="1">
        <m/>
        <s v="I will do exercise and sometimes yoga"/>
        <s v="Yes"/>
        <s v="Sitting "/>
        <s v="I q as doing physical activity but now due to semester pressure I have decreased it but I do practice meditation for 7 min daily and I will start to exercise again from next year "/>
        <s v="."/>
      </sharedItems>
    </cacheField>
    <cacheField name="How many days per week do you engage in moderate to vigorous physical activity (lasting at least 30 minutes)?" numFmtId="0">
      <sharedItems>
        <s v="3-4 days"/>
        <s v="1-2 days"/>
        <s v="5-7 days"/>
        <s v="0 days"/>
      </sharedItems>
    </cacheField>
    <cacheField name="How often do you take breaks to stretch or move around during long periods of screen use?" numFmtId="0">
      <sharedItems>
        <s v="Often"/>
        <s v="Rarely"/>
        <s v="Sometimes"/>
        <s v="Every 20-30 minutes"/>
        <s v="Never"/>
      </sharedItems>
    </cacheField>
    <cacheField name="Do you often experience back, neck, or shoulder pain which you attribute to sitting posture during screen use?" numFmtId="0">
      <sharedItems>
        <s v="Sometimes"/>
        <s v="Rarely"/>
        <s v="Often"/>
        <s v="Always"/>
        <s v="Never"/>
      </sharedItems>
    </cacheField>
    <cacheField name="SECTION 5 – Food Habits &amp; Meals" numFmtId="0">
      <sharedItems containsBlank="1">
        <m/>
        <s v="I prefer indian food and sometimes I do eat junk food "/>
        <s v="."/>
      </sharedItems>
    </cacheField>
    <cacheField name="Do you use a screen (mobile, TV, tablet, etc.) during most of your main meals (breakfast, lunch, dinner)?" numFmtId="0">
      <sharedItems>
        <s v="Yes"/>
        <s v="No"/>
      </sharedItems>
    </cacheField>
    <cacheField name="If you use screens during meals, do you still actively interact with family members or co-diners?" numFmtId="0">
      <sharedItems>
        <s v="Rarely"/>
        <s v="Yes, always"/>
        <s v="Sometimes"/>
        <s v="No, I focus on the screen"/>
        <s v="Not applicable (I usually eat alone)"/>
      </sharedItems>
    </cacheField>
    <cacheField name="SECTION 6 – Sleep" numFmtId="0">
      <sharedItems containsBlank="1">
        <m/>
        <s v="5 -6 hrs"/>
        <s v="6hrs"/>
        <s v="I normally go to sleep at 12 and wake up at 630 so I use phone sometimes at night before 1hr and at morning for meditation I use phone "/>
      </sharedItems>
    </cacheField>
    <cacheField name="How long do you typically sleep per night?" numFmtId="0">
      <sharedItems>
        <s v="7–8 hours"/>
        <s v="6–7 hours"/>
        <s v="5–6 hours"/>
        <s v="&lt; 5 hours"/>
        <s v="&gt; 8 hours"/>
      </sharedItems>
    </cacheField>
    <cacheField name="How often do you use a screen (phone, tablet, etc.) within 1 hour of going to bed?" numFmtId="0">
      <sharedItems>
        <s v="Sometimes"/>
        <s v="Every night"/>
        <s v="Often"/>
        <s v="Rarely"/>
        <s v="Never"/>
      </sharedItems>
    </cacheField>
    <cacheField name="Do you check your phone within an hour after waking up in the morning?" numFmtId="0">
      <sharedItems>
        <s v="Sometimes"/>
        <s v="Always"/>
        <s v="Never"/>
        <s v="Often"/>
        <s v="Rarely"/>
      </sharedItems>
    </cacheField>
    <cacheField name="SECTION 7 – Mental Health" numFmtId="0">
      <sharedItems containsBlank="1">
        <m/>
        <s v="My mental health is stable not much depressed and not fully happy I am satisfied with my life but aim and practise for more "/>
      </sharedItems>
    </cacheField>
    <cacheField name="Please rate your agreement with the following statements on a scale of 1 to 5. [I find it difficult to concentrate on tasks due to a desire to check my screen.]" numFmtId="0">
      <sharedItems containsSemiMixedTypes="0" containsString="0" containsNumber="1" containsInteger="1">
        <n v="4.0"/>
        <n v="5.0"/>
        <n v="2.0"/>
        <n v="1.0"/>
        <n v="3.0"/>
      </sharedItems>
    </cacheField>
    <cacheField name="Please rate your agreement with the following statements on a scale of 1 to 5. [I often prioritize screen time over real-world social interactions or responsibilities.]" numFmtId="0">
      <sharedItems containsSemiMixedTypes="0" containsString="0" containsNumber="1" containsInteger="1">
        <n v="4.0"/>
        <n v="5.0"/>
        <n v="2.0"/>
        <n v="3.0"/>
        <n v="1.0"/>
      </sharedItems>
    </cacheField>
    <cacheField name="Please rate your agreement with the following statements on a scale of 1 to 5. [I feel isolated or disconnected from others despite being constantly connected online.]" numFmtId="0">
      <sharedItems containsSemiMixedTypes="0" containsString="0" containsNumber="1" containsInteger="1">
        <n v="3.0"/>
        <n v="5.0"/>
        <n v="4.0"/>
        <n v="1.0"/>
        <n v="2.0"/>
      </sharedItems>
    </cacheField>
    <cacheField name="Please rate your agreement with the following statements on a scale of 1 to 5. [I often stay up later than intended because of screen use.]" numFmtId="0">
      <sharedItems containsSemiMixedTypes="0" containsString="0" containsNumber="1" containsInteger="1">
        <n v="1.0"/>
        <n v="3.0"/>
        <n v="2.0"/>
        <n v="4.0"/>
        <n v="5.0"/>
      </sharedItems>
    </cacheField>
    <cacheField name="Please rate your agreement with the following statements on a scale of 1 to 5. [I feel a sense of guilt or regret about my screen time habits.]" numFmtId="0">
      <sharedItems containsSemiMixedTypes="0" containsString="0" containsNumber="1" containsInteger="1">
        <n v="5.0"/>
        <n v="1.0"/>
        <n v="4.0"/>
        <n v="2.0"/>
        <n v="3.0"/>
      </sharedItems>
    </cacheField>
    <cacheField name="Please rate your agreement with the following statements on a scale of 1 to 5. [I believe excessive screen time negatively affects my mood.]" numFmtId="0">
      <sharedItems containsSemiMixedTypes="0" containsString="0" containsNumber="1" containsInteger="1">
        <n v="5.0"/>
        <n v="2.0"/>
        <n v="4.0"/>
        <n v="3.0"/>
        <n v="1.0"/>
      </sharedItems>
    </cacheField>
    <cacheField name="Please rate your agreement with the following statements on a scale of 1 to 5. [I feel overwhelmed by the amount of information consumed online.]" numFmtId="0">
      <sharedItems containsSemiMixedTypes="0" containsString="0" containsNumber="1" containsInteger="1">
        <n v="5.0"/>
        <n v="1.0"/>
        <n v="3.0"/>
        <n v="2.0"/>
        <n v="4.0"/>
      </sharedItems>
    </cacheField>
    <cacheField name="BMI" numFmtId="0">
      <sharedItems containsSemiMixedTypes="0" containsString="0" containsNumber="1">
        <n v="21.230572023714146"/>
        <n v="24.609733700642796"/>
        <n v="20.5325987144169"/>
        <n v="28.303850156087407"/>
        <n v="19.44382586990026"/>
        <n v="21.367521367521366"/>
        <n v="21.484374999999996"/>
        <n v="13.71742112482853"/>
        <n v="24.151672503320853"/>
        <n v="16.528925619834713"/>
        <n v="19.81405273586343"/>
        <n v="22.432302515622492"/>
        <n v="23.588329220496444"/>
        <n v="19.570746212199495"/>
        <n v="32.43243243243243"/>
        <n v="26.573129251700685"/>
        <n v="25.95155709342561"/>
        <n v="19.624120974596405"/>
        <n v="20.936639118457304"/>
        <n v="21.258503401360546"/>
        <n v="21.333333333333332"/>
        <n v="26.59266967279454"/>
        <n v="19.14672216441207"/>
        <n v="19.531249999999996"/>
        <n v="32.46618106139438"/>
        <n v="23.309053069719038"/>
        <n v="19.979188345473464"/>
        <n v="23.529411764705884"/>
        <n v="17.146776406035663"/>
        <n v="19.031141868512112"/>
        <n v="18.02595737862522"/>
        <n v="23.836734693877553"/>
        <n v="20.957171162932475"/>
        <n v="18.314255983350673"/>
        <n v="16.604274846033086"/>
        <n v="28.73469387755102"/>
        <n v="18672.79517380063"/>
        <n v="20.962459057697153"/>
        <n v="21.132713440405748"/>
        <n v="23.068553096058196"/>
        <n v="19223.923104307585"/>
        <n v="25.24933720489837"/>
        <n v="27.757487216946675"/>
        <n v="26.709401709401707"/>
        <n v="32.871972318339104"/>
        <n v="23.11111111111111"/>
        <n v="19.506172839506174"/>
      </sharedItems>
    </cacheField>
    <cacheField name="BMI Category" numFmtId="0">
      <sharedItems>
        <s v="Normal weight"/>
        <s v="Overweight"/>
        <s v="Underweight"/>
        <s v="Obesity"/>
      </sharedItems>
    </cacheField>
    <cacheField name="Total Screen Time (Approx. Hours)" numFmtId="0">
      <sharedItems containsSemiMixedTypes="0" containsString="0" containsNumber="1" containsInteger="1">
        <n v="12.0"/>
        <n v="8.0"/>
        <n v="6.0"/>
        <n v="4.0"/>
        <n v="2.0"/>
        <n v="7.0"/>
        <n v="10.0"/>
        <n v="14.0"/>
        <n v="3.0"/>
      </sharedItems>
    </cacheField>
    <cacheField name="Total Screen Time Range" numFmtId="0">
      <sharedItems>
        <s v="8-12 hours"/>
        <s v="4-8 hours"/>
        <s v="&lt; 4 hours"/>
        <s v="&gt; 12 hours"/>
      </sharedItems>
    </cacheField>
  </cacheFields>
</pivotCacheDefinition>
</file>

<file path=xl/pivotTables/_rels/pivotTable1.xml.rels><?xml version="1.0" encoding="UTF-8" standalone="yes"?>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pivotTable1.xml><?xml version="1.0" encoding="utf-8"?>
<pivotTableDefinition xmlns="http://schemas.openxmlformats.org/spreadsheetml/2006/main" name="Sheet1" cacheId="0" dataCaption="" compact="0" compactData="0">
  <location ref="A1:F7" firstHeaderRow="0" firstDataRow="1" firstDataCol="1"/>
  <pivotFields>
    <pivotField name="Timestamp" dataField="1" compact="0" numFmtId="164" outline="0" multipleItemSelectionAllowed="1" showAll="0">
      <items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x="14"/>
        <item x="15"/>
        <item x="16"/>
        <item x="17"/>
        <item x="18"/>
        <item x="19"/>
        <item x="20"/>
        <item x="21"/>
        <item x="22"/>
        <item x="23"/>
        <item x="24"/>
        <item x="25"/>
        <item x="26"/>
        <item x="27"/>
        <item x="28"/>
        <item x="29"/>
        <item x="30"/>
        <item x="31"/>
        <item x="32"/>
        <item x="33"/>
        <item x="34"/>
        <item x="35"/>
        <item x="36"/>
        <item x="37"/>
        <item x="38"/>
        <item x="39"/>
        <item x="40"/>
        <item x="41"/>
        <item x="42"/>
        <item x="43"/>
        <item x="44"/>
        <item x="45"/>
        <item x="46"/>
        <item x="47"/>
        <item x="48"/>
        <item x="49"/>
        <item t="default"/>
      </items>
    </pivotField>
    <pivotField name="SECTION 1 – Demographic &amp; Body Metrics" compact="0" outline="0" multipleItemSelectionAllowed="1" showAll="0">
      <items>
        <item x="0"/>
        <item x="1"/>
        <item x="2"/>
        <item t="default"/>
      </items>
    </pivotField>
    <pivotField name="What is your age group?" axis="axisCol" compact="0" outline="0" multipleItemSelectionAllowed="1" showAll="0" sortType="ascending">
      <items>
        <item x="0"/>
        <item x="3"/>
        <item x="2"/>
        <item x="1"/>
        <item t="default"/>
      </items>
    </pivotField>
    <pivotField name="What is your gender?" compact="0" outline="0" multipleItemSelectionAllowed="1" showAll="0">
      <items>
        <item x="0"/>
        <item x="1"/>
        <item x="2"/>
        <item t="default"/>
      </items>
    </pivotField>
    <pivotField name="What is your primary occupation?" compact="0" outline="0" multipleItemSelectionAllowed="1" showAll="0">
      <items>
        <item x="0"/>
        <item x="1"/>
        <item x="2"/>
        <item x="3"/>
        <item x="4"/>
        <item x="5"/>
        <item x="6"/>
        <item t="default"/>
      </items>
    </pivotField>
    <pivotField name="Your Height (in centimeters, e.g., 170)" compact="0" outline="0" multipleItemSelectionAllowed="1" showAll="0">
      <items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x="14"/>
        <item x="15"/>
        <item x="16"/>
        <item x="17"/>
        <item x="18"/>
        <item x="19"/>
        <item x="20"/>
        <item x="21"/>
        <item t="default"/>
      </items>
    </pivotField>
    <pivotField name="Your Weight (in kilograms, e.g., 75)" compact="0" outline="0" multipleItemSelectionAllowed="1" showAll="0">
      <items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x="14"/>
        <item x="15"/>
        <item x="16"/>
        <item x="17"/>
        <item x="18"/>
        <item x="19"/>
        <item x="20"/>
        <item x="21"/>
        <item x="22"/>
        <item x="23"/>
        <item x="24"/>
        <item x="25"/>
        <item x="26"/>
        <item x="27"/>
        <item x="28"/>
        <item t="default"/>
      </items>
    </pivotField>
    <pivotField name="SECTION 2 – Screen Time" compact="0" outline="0" multipleItemSelectionAllowed="1" showAll="0">
      <items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x="14"/>
        <item x="15"/>
        <item x="16"/>
        <item t="default"/>
      </items>
    </pivotField>
    <pivotField name="On an average day, how much time do you spend on your mobile phone for non-productive activities?" compact="0" outline="0" multipleItemSelectionAllowed="1" showAll="0">
      <items>
        <item x="0"/>
        <item x="1"/>
        <item x="2"/>
        <item x="3"/>
        <item x="4"/>
        <item t="default"/>
      </items>
    </pivotField>
    <pivotField name="On an average day, how much time do you spend using other devices (PC, Laptop, Tablet, TV) for non-productive activities?" compact="0" outline="0" multipleItemSelectionAllowed="1" showAll="0">
      <items>
        <item x="0"/>
        <item x="1"/>
        <item x="2"/>
        <item x="3"/>
        <item t="default"/>
      </items>
    </pivotField>
    <pivotField name="SECTION 3 – Eye Health" compact="0" outline="0" multipleItemSelectionAllowed="1" showAll="0">
      <items>
        <item x="0"/>
        <item x="1"/>
        <item x="2"/>
        <item x="3"/>
        <item x="4"/>
        <item x="5"/>
        <item x="6"/>
        <item x="7"/>
        <item x="8"/>
        <item t="default"/>
      </items>
    </pivotField>
    <pivotField name="Do you wear prescription glasses or contact lenses?" compact="0" outline="0" multipleItemSelectionAllowed="1" showAll="0">
      <items>
        <item x="0"/>
        <item x="1"/>
        <item t="default"/>
      </items>
    </pivotField>
    <pivotField name="If you wear prescription glasses or contact lenses, please indicate your power/strength (or 'Prefer not to say')." compact="0" outline="0" multipleItemSelectionAllowed="1" showAll="0">
      <items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x="14"/>
        <item x="15"/>
        <item x="16"/>
        <item x="17"/>
        <item x="18"/>
        <item x="19"/>
        <item x="20"/>
        <item t="default"/>
      </items>
    </pivotField>
    <pivotField name="How often do you experience eye strain, dryness, or blurry vision after prolonged screen use?" compact="0" outline="0" multipleItemSelectionAllowed="1" showAll="0">
      <items>
        <item x="0"/>
        <item x="1"/>
        <item x="2"/>
        <item x="3"/>
        <item x="4"/>
        <item t="default"/>
      </items>
    </pivotField>
    <pivotField name="SECTION 4 – Physical Activity &amp; Posture" compact="0" outline="0" multipleItemSelectionAllowed="1" showAll="0">
      <items>
        <item x="0"/>
        <item x="1"/>
        <item x="2"/>
        <item x="3"/>
        <item x="4"/>
        <item x="5"/>
        <item t="default"/>
      </items>
    </pivotField>
    <pivotField name="How many days per week do you engage in moderate to vigorous physical activity (lasting at least 30 minutes)?" compact="0" outline="0" multipleItemSelectionAllowed="1" showAll="0">
      <items>
        <item x="0"/>
        <item x="1"/>
        <item x="2"/>
        <item x="3"/>
        <item t="default"/>
      </items>
    </pivotField>
    <pivotField name="How often do you take breaks to stretch or move around during long periods of screen use?" compact="0" outline="0" multipleItemSelectionAllowed="1" showAll="0">
      <items>
        <item x="0"/>
        <item x="1"/>
        <item x="2"/>
        <item x="3"/>
        <item x="4"/>
        <item t="default"/>
      </items>
    </pivotField>
    <pivotField name="Do you often experience back, neck, or shoulder pain which you attribute to sitting posture during screen use?" compact="0" outline="0" multipleItemSelectionAllowed="1" showAll="0">
      <items>
        <item x="0"/>
        <item x="1"/>
        <item x="2"/>
        <item x="3"/>
        <item x="4"/>
        <item t="default"/>
      </items>
    </pivotField>
    <pivotField name="SECTION 5 – Food Habits &amp; Meals" compact="0" outline="0" multipleItemSelectionAllowed="1" showAll="0">
      <items>
        <item x="0"/>
        <item x="1"/>
        <item x="2"/>
        <item t="default"/>
      </items>
    </pivotField>
    <pivotField name="Do you use a screen (mobile, TV, tablet, etc.) during most of your main meals (breakfast, lunch, dinner)?" compact="0" outline="0" multipleItemSelectionAllowed="1" showAll="0">
      <items>
        <item x="0"/>
        <item x="1"/>
        <item t="default"/>
      </items>
    </pivotField>
    <pivotField name="If you use screens during meals, do you still actively interact with family members or co-diners?" compact="0" outline="0" multipleItemSelectionAllowed="1" showAll="0">
      <items>
        <item x="0"/>
        <item x="1"/>
        <item x="2"/>
        <item x="3"/>
        <item x="4"/>
        <item t="default"/>
      </items>
    </pivotField>
    <pivotField name="SECTION 6 – Sleep" compact="0" outline="0" multipleItemSelectionAllowed="1" showAll="0">
      <items>
        <item x="0"/>
        <item x="1"/>
        <item x="2"/>
        <item x="3"/>
        <item t="default"/>
      </items>
    </pivotField>
    <pivotField name="How long do you typically sleep per night?" compact="0" outline="0" multipleItemSelectionAllowed="1" showAll="0">
      <items>
        <item x="0"/>
        <item x="1"/>
        <item x="2"/>
        <item x="3"/>
        <item x="4"/>
        <item t="default"/>
      </items>
    </pivotField>
    <pivotField name="How often do you use a screen (phone, tablet, etc.) within 1 hour of going to bed?" compact="0" outline="0" multipleItemSelectionAllowed="1" showAll="0">
      <items>
        <item x="0"/>
        <item x="1"/>
        <item x="2"/>
        <item x="3"/>
        <item x="4"/>
        <item t="default"/>
      </items>
    </pivotField>
    <pivotField name="Do you check your phone within an hour after waking up in the morning?" compact="0" outline="0" multipleItemSelectionAllowed="1" showAll="0">
      <items>
        <item x="0"/>
        <item x="1"/>
        <item x="2"/>
        <item x="3"/>
        <item x="4"/>
        <item t="default"/>
      </items>
    </pivotField>
    <pivotField name="SECTION 7 – Mental Health" compact="0" outline="0" multipleItemSelectionAllowed="1" showAll="0">
      <items>
        <item x="0"/>
        <item x="1"/>
        <item t="default"/>
      </items>
    </pivotField>
    <pivotField name="Please rate your agreement with the following statements on a scale of 1 to 5. [I find it difficult to concentrate on tasks due to a desire to check my screen.]" compact="0" outline="0" multipleItemSelectionAllowed="1" showAll="0">
      <items>
        <item x="0"/>
        <item x="1"/>
        <item x="2"/>
        <item x="3"/>
        <item x="4"/>
        <item t="default"/>
      </items>
    </pivotField>
    <pivotField name="Please rate your agreement with the following statements on a scale of 1 to 5. [I often prioritize screen time over real-world social interactions or responsibilities.]" compact="0" outline="0" multipleItemSelectionAllowed="1" showAll="0">
      <items>
        <item x="0"/>
        <item x="1"/>
        <item x="2"/>
        <item x="3"/>
        <item x="4"/>
        <item t="default"/>
      </items>
    </pivotField>
    <pivotField name="Please rate your agreement with the following statements on a scale of 1 to 5. [I feel isolated or disconnected from others despite being constantly connected online.]" compact="0" outline="0" multipleItemSelectionAllowed="1" showAll="0">
      <items>
        <item x="0"/>
        <item x="1"/>
        <item x="2"/>
        <item x="3"/>
        <item x="4"/>
        <item t="default"/>
      </items>
    </pivotField>
    <pivotField name="Please rate your agreement with the following statements on a scale of 1 to 5. [I often stay up later than intended because of screen use.]" compact="0" outline="0" multipleItemSelectionAllowed="1" showAll="0">
      <items>
        <item x="0"/>
        <item x="1"/>
        <item x="2"/>
        <item x="3"/>
        <item x="4"/>
        <item t="default"/>
      </items>
    </pivotField>
    <pivotField name="Please rate your agreement with the following statements on a scale of 1 to 5. [I feel a sense of guilt or regret about my screen time habits.]" compact="0" outline="0" multipleItemSelectionAllowed="1" showAll="0">
      <items>
        <item x="0"/>
        <item x="1"/>
        <item x="2"/>
        <item x="3"/>
        <item x="4"/>
        <item t="default"/>
      </items>
    </pivotField>
    <pivotField name="Please rate your agreement with the following statements on a scale of 1 to 5. [I believe excessive screen time negatively affects my mood.]" compact="0" outline="0" multipleItemSelectionAllowed="1" showAll="0">
      <items>
        <item x="0"/>
        <item x="1"/>
        <item x="2"/>
        <item x="3"/>
        <item x="4"/>
        <item t="default"/>
      </items>
    </pivotField>
    <pivotField name="Please rate your agreement with the following statements on a scale of 1 to 5. [I feel overwhelmed by the amount of information consumed online.]" compact="0" outline="0" multipleItemSelectionAllowed="1" showAll="0">
      <items>
        <item x="0"/>
        <item x="1"/>
        <item x="2"/>
        <item x="3"/>
        <item x="4"/>
        <item t="default"/>
      </items>
    </pivotField>
    <pivotField name="BMI" compact="0" outline="0" multipleItemSelectionAllowed="1" showAll="0">
      <items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x="14"/>
        <item x="15"/>
        <item x="16"/>
        <item x="17"/>
        <item x="18"/>
        <item x="19"/>
        <item x="20"/>
        <item x="21"/>
        <item x="22"/>
        <item x="23"/>
        <item x="24"/>
        <item x="25"/>
        <item x="26"/>
        <item x="27"/>
        <item x="28"/>
        <item x="29"/>
        <item x="30"/>
        <item x="31"/>
        <item x="32"/>
        <item x="33"/>
        <item x="34"/>
        <item x="35"/>
        <item x="36"/>
        <item x="37"/>
        <item x="38"/>
        <item x="39"/>
        <item x="40"/>
        <item x="41"/>
        <item x="42"/>
        <item x="43"/>
        <item x="44"/>
        <item x="45"/>
        <item x="46"/>
        <item t="default"/>
      </items>
    </pivotField>
    <pivotField name="BMI Category" compact="0" outline="0" multipleItemSelectionAllowed="1" showAll="0">
      <items>
        <item x="0"/>
        <item x="1"/>
        <item x="2"/>
        <item x="3"/>
        <item t="default"/>
      </items>
    </pivotField>
    <pivotField name="Total Screen Time (Approx. Hours)" compact="0" outline="0" multipleItemSelectionAllowed="1" showAll="0">
      <items>
        <item x="0"/>
        <item x="1"/>
        <item x="2"/>
        <item x="3"/>
        <item x="4"/>
        <item x="5"/>
        <item x="6"/>
        <item x="7"/>
        <item x="8"/>
        <item t="default"/>
      </items>
    </pivotField>
    <pivotField name="Total Screen Time Range" axis="axisRow" compact="0" outline="0" multipleItemSelectionAllowed="1" showAll="0" sortType="ascending">
      <items>
        <item x="2"/>
        <item x="3"/>
        <item x="1"/>
        <item x="0"/>
        <item t="default"/>
      </items>
    </pivotField>
  </pivotFields>
  <rowFields>
    <field x="36"/>
  </rowFields>
  <colFields>
    <field x="2"/>
  </colFields>
  <dataFields>
    <dataField name="COUNTA of Timestamp" fld="0" subtotal="count" baseField="0"/>
  </dataFields>
  <pivotTableStyleInfo name="Google Sheets Pivot Table Style" showRowHeaders="1" showColHeaders="1" showLastColumn="1"/>
</pivotTableDefinition>
</file>

<file path=xl/tables/table1.xml><?xml version="1.0" encoding="utf-8"?>
<table xmlns="http://schemas.openxmlformats.org/spreadsheetml/2006/main" ref="A1:AK51" displayName="Form_Responses" name="Form_Responses" id="1">
  <tableColumns count="37">
    <tableColumn name="Timestamp" id="1"/>
    <tableColumn name="SECTION 1 – Demographic &amp; Body Metrics" id="2"/>
    <tableColumn name="What is your age group?" id="3"/>
    <tableColumn name="What is your gender?" id="4"/>
    <tableColumn name="What is your primary occupation?" id="5"/>
    <tableColumn name="Your Height (in centimeters, e.g., 170)" id="6"/>
    <tableColumn name="Your Weight (in kilograms, e.g., 75)" id="7"/>
    <tableColumn name="SECTION 2 – Screen Time" id="8"/>
    <tableColumn name="On an average day, how much time do you spend on your mobile phone for non-productive activities?" id="9"/>
    <tableColumn name="On an average day, how much time do you spend using other devices (PC, Laptop, Tablet, TV) for non-productive activities?" id="10"/>
    <tableColumn name="SECTION 3 – Eye Health" id="11"/>
    <tableColumn name="Do you wear prescription glasses or contact lenses?" id="12"/>
    <tableColumn name="If you wear prescription glasses or contact lenses, please indicate your power/strength (or 'Prefer not to say')." id="13"/>
    <tableColumn name="How often do you experience eye strain, dryness, or blurry vision after prolonged screen use?" id="14"/>
    <tableColumn name="SECTION 4 – Physical Activity &amp; Posture" id="15"/>
    <tableColumn name="How many days per week do you engage in moderate to vigorous physical activity (lasting at least 30 minutes)?" id="16"/>
    <tableColumn name="How often do you take breaks to stretch or move around during long periods of screen use?" id="17"/>
    <tableColumn name="Do you often experience back, neck, or shoulder pain which you attribute to sitting posture during screen use?" id="18"/>
    <tableColumn name="SECTION 5 – Food Habits &amp; Meals" id="19"/>
    <tableColumn name="Do you use a screen (mobile, TV, tablet, etc.) during most of your main meals (breakfast, lunch, dinner)?" id="20"/>
    <tableColumn name="If you use screens during meals, do you still actively interact with family members or co-diners?" id="21"/>
    <tableColumn name="SECTION 6 – Sleep" id="22"/>
    <tableColumn name="How long do you typically sleep per night?" id="23"/>
    <tableColumn name="How often do you use a screen (phone, tablet, etc.) within 1 hour of going to bed?" id="24"/>
    <tableColumn name="Do you check your phone within an hour after waking up in the morning?" id="25"/>
    <tableColumn name="SECTION 7 – Mental Health" id="26"/>
    <tableColumn name="Please rate your agreement with the following statements on a scale of 1 to 5. [I find it difficult to concentrate on tasks due to a desire to check my screen.]" id="27"/>
    <tableColumn name="Please rate your agreement with the following statements on a scale of 1 to 5. [I often prioritize screen time over real-world social interactions or responsibilities.]" id="28"/>
    <tableColumn name="Please rate your agreement with the following statements on a scale of 1 to 5. [I feel isolated or disconnected from others despite being constantly connected online.]" id="29"/>
    <tableColumn name="Please rate your agreement with the following statements on a scale of 1 to 5. [I often stay up later than intended because of screen use.]" id="30"/>
    <tableColumn name="Please rate your agreement with the following statements on a scale of 1 to 5. [I feel a sense of guilt or regret about my screen time habits.]" id="31"/>
    <tableColumn name="Please rate your agreement with the following statements on a scale of 1 to 5. [I believe excessive screen time negatively affects my mood.]" id="32"/>
    <tableColumn name="Please rate your agreement with the following statements on a scale of 1 to 5. [I feel overwhelmed by the amount of information consumed online.]" id="33"/>
    <tableColumn name="BMI" id="34"/>
    <tableColumn name="BMI Category" id="35"/>
    <tableColumn name="Total Screen Time (Approx. Hours)" id="36"/>
    <tableColumn name="Total Screen Time Range" id="37"/>
  </tableColumns>
  <tableStyleInfo name="Form Responses 1-style" showColumnStripes="0" showFirstColumn="1" showLastColumn="1" showRowStripes="1"/>
</table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Relationship Id="rId3" Type="http://schemas.openxmlformats.org/officeDocument/2006/relationships/table" Target="../tables/table1.xml"/></Relationships>
</file>

<file path=xl/worksheets/_rels/sheet2.xml.rels><?xml version="1.0" encoding="UTF-8" standalone="yes"?><Relationships xmlns="http://schemas.openxmlformats.org/package/2006/relationships"><Relationship Id="rId1" Type="http://schemas.openxmlformats.org/officeDocument/2006/relationships/pivotTable" Target="../pivotTables/pivotTable1.xml"/><Relationship Id="rId2" Type="http://schemas.openxmlformats.org/officeDocument/2006/relationships/drawing" Target="../drawings/drawing2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>
      <pane ySplit="1.0" topLeftCell="A2" activePane="bottomLeft" state="frozen"/>
      <selection activeCell="B3" sqref="B3" pane="bottomLeft"/>
    </sheetView>
  </sheetViews>
  <sheetFormatPr customHeight="1" defaultColWidth="12.63" defaultRowHeight="15.75"/>
  <cols>
    <col customWidth="1" min="1" max="1" width="18.88"/>
    <col customWidth="1" min="2" max="2" width="36.13"/>
    <col customWidth="1" min="3" max="3" width="22.75"/>
    <col customWidth="1" min="4" max="4" width="20.5"/>
    <col customWidth="1" min="5" max="5" width="29.5"/>
    <col customWidth="1" min="6" max="6" width="32.5"/>
    <col customWidth="1" min="7" max="7" width="30.38"/>
    <col customWidth="1" min="8" max="8" width="24.25"/>
    <col customWidth="1" min="9" max="10" width="37.63"/>
    <col customWidth="1" min="11" max="11" width="22.88"/>
    <col customWidth="1" min="12" max="14" width="37.63"/>
    <col customWidth="1" min="15" max="15" width="34.38"/>
    <col customWidth="1" min="16" max="18" width="37.63"/>
    <col customWidth="1" min="19" max="19" width="30.25"/>
    <col customWidth="1" min="20" max="21" width="37.63"/>
    <col customWidth="1" min="22" max="22" width="19.25"/>
    <col customWidth="1" min="23" max="23" width="35.63"/>
    <col customWidth="1" min="24" max="25" width="37.63"/>
    <col customWidth="1" min="26" max="26" width="25.38"/>
    <col customWidth="1" min="27" max="37" width="37.63"/>
    <col customWidth="1" min="38" max="43" width="18.88"/>
  </cols>
  <sheetData>
    <row r="1" ht="22.5" customHeight="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  <c r="U1" s="1" t="s">
        <v>20</v>
      </c>
      <c r="V1" s="1" t="s">
        <v>21</v>
      </c>
      <c r="W1" s="1" t="s">
        <v>22</v>
      </c>
      <c r="X1" s="1" t="s">
        <v>23</v>
      </c>
      <c r="Y1" s="1" t="s">
        <v>24</v>
      </c>
      <c r="Z1" s="1" t="s">
        <v>25</v>
      </c>
      <c r="AA1" s="1" t="s">
        <v>26</v>
      </c>
      <c r="AB1" s="1" t="s">
        <v>27</v>
      </c>
      <c r="AC1" s="1" t="s">
        <v>28</v>
      </c>
      <c r="AD1" s="1" t="s">
        <v>29</v>
      </c>
      <c r="AE1" s="1" t="s">
        <v>30</v>
      </c>
      <c r="AF1" s="1" t="s">
        <v>31</v>
      </c>
      <c r="AG1" s="1" t="s">
        <v>32</v>
      </c>
      <c r="AH1" s="1" t="s">
        <v>33</v>
      </c>
      <c r="AI1" s="1" t="s">
        <v>34</v>
      </c>
      <c r="AJ1" s="1" t="s">
        <v>35</v>
      </c>
      <c r="AK1" s="1" t="s">
        <v>36</v>
      </c>
    </row>
    <row r="2" ht="22.5" customHeight="1">
      <c r="A2" s="2">
        <v>46013.91158825232</v>
      </c>
      <c r="B2" s="3"/>
      <c r="C2" s="4" t="s">
        <v>37</v>
      </c>
      <c r="D2" s="4" t="s">
        <v>38</v>
      </c>
      <c r="E2" s="4" t="s">
        <v>39</v>
      </c>
      <c r="F2" s="4">
        <v>158.0</v>
      </c>
      <c r="G2" s="4">
        <v>53.0</v>
      </c>
      <c r="H2" s="3"/>
      <c r="I2" s="4" t="s">
        <v>40</v>
      </c>
      <c r="J2" s="4" t="s">
        <v>41</v>
      </c>
      <c r="K2" s="3"/>
      <c r="L2" s="4" t="s">
        <v>42</v>
      </c>
      <c r="M2" s="4" t="s">
        <v>43</v>
      </c>
      <c r="N2" s="4" t="s">
        <v>44</v>
      </c>
      <c r="O2" s="3"/>
      <c r="P2" s="4" t="s">
        <v>45</v>
      </c>
      <c r="Q2" s="4" t="s">
        <v>46</v>
      </c>
      <c r="R2" s="4" t="s">
        <v>47</v>
      </c>
      <c r="S2" s="3"/>
      <c r="T2" s="4" t="s">
        <v>42</v>
      </c>
      <c r="U2" s="4" t="s">
        <v>44</v>
      </c>
      <c r="V2" s="3"/>
      <c r="W2" s="4" t="s">
        <v>48</v>
      </c>
      <c r="X2" s="4" t="s">
        <v>47</v>
      </c>
      <c r="Y2" s="4" t="s">
        <v>47</v>
      </c>
      <c r="Z2" s="3"/>
      <c r="AA2" s="4">
        <v>4.0</v>
      </c>
      <c r="AB2" s="4">
        <v>4.0</v>
      </c>
      <c r="AC2" s="4">
        <v>3.0</v>
      </c>
      <c r="AD2" s="4">
        <v>1.0</v>
      </c>
      <c r="AE2" s="4">
        <v>5.0</v>
      </c>
      <c r="AF2" s="4">
        <v>5.0</v>
      </c>
      <c r="AG2" s="4">
        <v>5.0</v>
      </c>
      <c r="AH2" s="4">
        <f t="shared" ref="AH2:AH51" si="1">G2/((F2/100)^2)</f>
        <v>21.23057202</v>
      </c>
      <c r="AI2" s="5" t="str">
        <f t="shared" ref="AI2:AI51" si="2">IFS(AH2&lt;18.5,"Underweight", AH2&lt;25,"Normal weight", AH2&lt;30,"Overweight", AH2&gt;=30,"Obesity")</f>
        <v>Normal weight</v>
      </c>
      <c r="AJ2" s="5">
        <f t="shared" ref="AJ2:AJ51" si="3">IFS(I2="&lt; 2 hours", 1, I2="2–4 hours", 3, I2="4–6 hours", 5, I2="6–8 hours", 7, I2="8–10 hours", 9, I2="&gt; 10 hours", 11, TRUE, 0) + IFS(J2="&lt; 2 hours", 1, J2="2–4 hours", 3, J2="4–6 hours", 5, J2="6–8 hours", 7, J2="8–10 hours", 9, J2="&gt; 10 hours", 11, TRUE, 0)</f>
        <v>12</v>
      </c>
      <c r="AK2" s="5" t="str">
        <f t="shared" ref="AK2:AK51" si="4">IFS(AJ2&lt;4,"&lt; 4 hours", AJ2&lt;=8,"4-8 hours", AJ2&lt;=12,"8-12 hours", TRUE, "&gt; 12 hours")</f>
        <v>8-12 hours</v>
      </c>
    </row>
    <row r="3" ht="22.5" customHeight="1">
      <c r="A3" s="2">
        <v>46013.91304013889</v>
      </c>
      <c r="B3" s="3"/>
      <c r="C3" s="4" t="s">
        <v>37</v>
      </c>
      <c r="D3" s="4" t="s">
        <v>49</v>
      </c>
      <c r="E3" s="4" t="s">
        <v>39</v>
      </c>
      <c r="F3" s="4">
        <v>165.0</v>
      </c>
      <c r="G3" s="4">
        <v>67.0</v>
      </c>
      <c r="H3" s="3"/>
      <c r="I3" s="4" t="s">
        <v>50</v>
      </c>
      <c r="J3" s="4" t="s">
        <v>41</v>
      </c>
      <c r="K3" s="3"/>
      <c r="L3" s="4" t="s">
        <v>51</v>
      </c>
      <c r="M3" s="3"/>
      <c r="N3" s="4" t="s">
        <v>44</v>
      </c>
      <c r="O3" s="3"/>
      <c r="P3" s="4" t="s">
        <v>52</v>
      </c>
      <c r="Q3" s="4" t="s">
        <v>44</v>
      </c>
      <c r="R3" s="4" t="s">
        <v>44</v>
      </c>
      <c r="S3" s="3"/>
      <c r="T3" s="4" t="s">
        <v>51</v>
      </c>
      <c r="U3" s="4" t="s">
        <v>53</v>
      </c>
      <c r="V3" s="3"/>
      <c r="W3" s="4" t="s">
        <v>54</v>
      </c>
      <c r="X3" s="4" t="s">
        <v>55</v>
      </c>
      <c r="Y3" s="4" t="s">
        <v>56</v>
      </c>
      <c r="Z3" s="3"/>
      <c r="AA3" s="4">
        <v>5.0</v>
      </c>
      <c r="AB3" s="4">
        <v>5.0</v>
      </c>
      <c r="AC3" s="4">
        <v>5.0</v>
      </c>
      <c r="AD3" s="4">
        <v>1.0</v>
      </c>
      <c r="AE3" s="4">
        <v>1.0</v>
      </c>
      <c r="AF3" s="4">
        <v>2.0</v>
      </c>
      <c r="AG3" s="4">
        <v>1.0</v>
      </c>
      <c r="AH3" s="4">
        <f t="shared" si="1"/>
        <v>24.6097337</v>
      </c>
      <c r="AI3" s="5" t="str">
        <f t="shared" si="2"/>
        <v>Normal weight</v>
      </c>
      <c r="AJ3" s="5">
        <f t="shared" si="3"/>
        <v>8</v>
      </c>
      <c r="AK3" s="5" t="str">
        <f t="shared" si="4"/>
        <v>4-8 hours</v>
      </c>
    </row>
    <row r="4" ht="22.5" customHeight="1">
      <c r="A4" s="2">
        <v>46013.91606688657</v>
      </c>
      <c r="B4" s="3"/>
      <c r="C4" s="4" t="s">
        <v>37</v>
      </c>
      <c r="D4" s="4" t="s">
        <v>38</v>
      </c>
      <c r="E4" s="4" t="s">
        <v>39</v>
      </c>
      <c r="F4" s="4">
        <v>165.0</v>
      </c>
      <c r="G4" s="4">
        <v>55.9</v>
      </c>
      <c r="H4" s="4" t="s">
        <v>57</v>
      </c>
      <c r="I4" s="4" t="s">
        <v>58</v>
      </c>
      <c r="J4" s="4" t="s">
        <v>58</v>
      </c>
      <c r="K4" s="3"/>
      <c r="L4" s="4" t="s">
        <v>51</v>
      </c>
      <c r="M4" s="3"/>
      <c r="N4" s="4" t="s">
        <v>44</v>
      </c>
      <c r="O4" s="3"/>
      <c r="P4" s="4" t="s">
        <v>59</v>
      </c>
      <c r="Q4" s="4" t="s">
        <v>46</v>
      </c>
      <c r="R4" s="4" t="s">
        <v>47</v>
      </c>
      <c r="S4" s="3"/>
      <c r="T4" s="4" t="s">
        <v>51</v>
      </c>
      <c r="U4" s="4" t="s">
        <v>53</v>
      </c>
      <c r="V4" s="3"/>
      <c r="W4" s="4" t="s">
        <v>48</v>
      </c>
      <c r="X4" s="4" t="s">
        <v>46</v>
      </c>
      <c r="Y4" s="4" t="s">
        <v>60</v>
      </c>
      <c r="Z4" s="3"/>
      <c r="AA4" s="4">
        <v>2.0</v>
      </c>
      <c r="AB4" s="4">
        <v>2.0</v>
      </c>
      <c r="AC4" s="4">
        <v>4.0</v>
      </c>
      <c r="AD4" s="4">
        <v>3.0</v>
      </c>
      <c r="AE4" s="4">
        <v>4.0</v>
      </c>
      <c r="AF4" s="4">
        <v>5.0</v>
      </c>
      <c r="AG4" s="4">
        <v>3.0</v>
      </c>
      <c r="AH4" s="4">
        <f t="shared" si="1"/>
        <v>20.53259871</v>
      </c>
      <c r="AI4" s="5" t="str">
        <f t="shared" si="2"/>
        <v>Normal weight</v>
      </c>
      <c r="AJ4" s="5">
        <f t="shared" si="3"/>
        <v>6</v>
      </c>
      <c r="AK4" s="5" t="str">
        <f t="shared" si="4"/>
        <v>4-8 hours</v>
      </c>
    </row>
    <row r="5" ht="22.5" customHeight="1">
      <c r="A5" s="2">
        <v>46013.91714938657</v>
      </c>
      <c r="B5" s="3"/>
      <c r="C5" s="4" t="s">
        <v>37</v>
      </c>
      <c r="D5" s="4" t="s">
        <v>38</v>
      </c>
      <c r="E5" s="4" t="s">
        <v>39</v>
      </c>
      <c r="F5" s="4">
        <v>155.0</v>
      </c>
      <c r="G5" s="4">
        <v>68.0</v>
      </c>
      <c r="H5" s="3"/>
      <c r="I5" s="4" t="s">
        <v>58</v>
      </c>
      <c r="J5" s="4" t="s">
        <v>50</v>
      </c>
      <c r="K5" s="3"/>
      <c r="L5" s="4" t="s">
        <v>51</v>
      </c>
      <c r="M5" s="3"/>
      <c r="N5" s="4" t="s">
        <v>44</v>
      </c>
      <c r="O5" s="3"/>
      <c r="P5" s="4" t="s">
        <v>45</v>
      </c>
      <c r="Q5" s="4" t="s">
        <v>47</v>
      </c>
      <c r="R5" s="4" t="s">
        <v>47</v>
      </c>
      <c r="S5" s="3"/>
      <c r="T5" s="4" t="s">
        <v>42</v>
      </c>
      <c r="U5" s="4" t="s">
        <v>47</v>
      </c>
      <c r="V5" s="3"/>
      <c r="W5" s="4" t="s">
        <v>54</v>
      </c>
      <c r="X5" s="4" t="s">
        <v>44</v>
      </c>
      <c r="Y5" s="4" t="s">
        <v>47</v>
      </c>
      <c r="Z5" s="3"/>
      <c r="AA5" s="4">
        <v>5.0</v>
      </c>
      <c r="AB5" s="4">
        <v>3.0</v>
      </c>
      <c r="AC5" s="4">
        <v>3.0</v>
      </c>
      <c r="AD5" s="4">
        <v>3.0</v>
      </c>
      <c r="AE5" s="4">
        <v>4.0</v>
      </c>
      <c r="AF5" s="4">
        <v>4.0</v>
      </c>
      <c r="AG5" s="4">
        <v>2.0</v>
      </c>
      <c r="AH5" s="4">
        <f t="shared" si="1"/>
        <v>28.30385016</v>
      </c>
      <c r="AI5" s="5" t="str">
        <f t="shared" si="2"/>
        <v>Overweight</v>
      </c>
      <c r="AJ5" s="5">
        <f t="shared" si="3"/>
        <v>4</v>
      </c>
      <c r="AK5" s="5" t="str">
        <f t="shared" si="4"/>
        <v>4-8 hours</v>
      </c>
    </row>
    <row r="6" ht="22.5" customHeight="1">
      <c r="A6" s="2">
        <v>46013.91748903935</v>
      </c>
      <c r="B6" s="3"/>
      <c r="C6" s="4" t="s">
        <v>37</v>
      </c>
      <c r="D6" s="4" t="s">
        <v>49</v>
      </c>
      <c r="E6" s="4" t="s">
        <v>39</v>
      </c>
      <c r="F6" s="4">
        <v>165.1</v>
      </c>
      <c r="G6" s="4">
        <v>53.0</v>
      </c>
      <c r="H6" s="4" t="s">
        <v>61</v>
      </c>
      <c r="I6" s="4" t="s">
        <v>50</v>
      </c>
      <c r="J6" s="4" t="s">
        <v>58</v>
      </c>
      <c r="K6" s="4" t="s">
        <v>62</v>
      </c>
      <c r="L6" s="4" t="s">
        <v>51</v>
      </c>
      <c r="M6" s="3"/>
      <c r="N6" s="4" t="s">
        <v>46</v>
      </c>
      <c r="O6" s="3"/>
      <c r="P6" s="4" t="s">
        <v>63</v>
      </c>
      <c r="Q6" s="4" t="s">
        <v>47</v>
      </c>
      <c r="R6" s="4" t="s">
        <v>46</v>
      </c>
      <c r="S6" s="3"/>
      <c r="T6" s="4" t="s">
        <v>42</v>
      </c>
      <c r="U6" s="4" t="s">
        <v>47</v>
      </c>
      <c r="V6" s="3"/>
      <c r="W6" s="4" t="s">
        <v>54</v>
      </c>
      <c r="X6" s="4" t="s">
        <v>55</v>
      </c>
      <c r="Y6" s="4" t="s">
        <v>46</v>
      </c>
      <c r="Z6" s="3"/>
      <c r="AA6" s="4">
        <v>2.0</v>
      </c>
      <c r="AB6" s="4">
        <v>3.0</v>
      </c>
      <c r="AC6" s="4">
        <v>1.0</v>
      </c>
      <c r="AD6" s="4">
        <v>3.0</v>
      </c>
      <c r="AE6" s="4">
        <v>2.0</v>
      </c>
      <c r="AF6" s="4">
        <v>3.0</v>
      </c>
      <c r="AG6" s="4">
        <v>3.0</v>
      </c>
      <c r="AH6" s="4">
        <f t="shared" si="1"/>
        <v>19.44382587</v>
      </c>
      <c r="AI6" s="5" t="str">
        <f t="shared" si="2"/>
        <v>Normal weight</v>
      </c>
      <c r="AJ6" s="5">
        <f t="shared" si="3"/>
        <v>4</v>
      </c>
      <c r="AK6" s="5" t="str">
        <f t="shared" si="4"/>
        <v>4-8 hours</v>
      </c>
    </row>
    <row r="7" ht="22.5" customHeight="1">
      <c r="A7" s="2">
        <v>46013.91808768519</v>
      </c>
      <c r="B7" s="3"/>
      <c r="C7" s="4" t="s">
        <v>37</v>
      </c>
      <c r="D7" s="4" t="s">
        <v>38</v>
      </c>
      <c r="E7" s="4" t="s">
        <v>39</v>
      </c>
      <c r="F7" s="4">
        <v>156.0</v>
      </c>
      <c r="G7" s="4">
        <v>52.0</v>
      </c>
      <c r="H7" s="4" t="s">
        <v>64</v>
      </c>
      <c r="I7" s="4" t="s">
        <v>40</v>
      </c>
      <c r="J7" s="4" t="s">
        <v>58</v>
      </c>
      <c r="K7" s="4" t="s">
        <v>62</v>
      </c>
      <c r="L7" s="4" t="s">
        <v>51</v>
      </c>
      <c r="M7" s="4" t="s">
        <v>51</v>
      </c>
      <c r="N7" s="4" t="s">
        <v>44</v>
      </c>
      <c r="O7" s="4" t="s">
        <v>65</v>
      </c>
      <c r="P7" s="4" t="s">
        <v>59</v>
      </c>
      <c r="Q7" s="4" t="s">
        <v>47</v>
      </c>
      <c r="R7" s="4" t="s">
        <v>47</v>
      </c>
      <c r="S7" s="4" t="s">
        <v>66</v>
      </c>
      <c r="T7" s="4" t="s">
        <v>51</v>
      </c>
      <c r="U7" s="4" t="s">
        <v>67</v>
      </c>
      <c r="V7" s="4" t="s">
        <v>68</v>
      </c>
      <c r="W7" s="4" t="s">
        <v>54</v>
      </c>
      <c r="X7" s="4" t="s">
        <v>55</v>
      </c>
      <c r="Y7" s="4" t="s">
        <v>56</v>
      </c>
      <c r="Z7" s="3"/>
      <c r="AA7" s="4">
        <v>1.0</v>
      </c>
      <c r="AB7" s="4">
        <v>1.0</v>
      </c>
      <c r="AC7" s="4">
        <v>3.0</v>
      </c>
      <c r="AD7" s="4">
        <v>3.0</v>
      </c>
      <c r="AE7" s="4">
        <v>4.0</v>
      </c>
      <c r="AF7" s="4">
        <v>2.0</v>
      </c>
      <c r="AG7" s="4">
        <v>1.0</v>
      </c>
      <c r="AH7" s="4">
        <f t="shared" si="1"/>
        <v>21.36752137</v>
      </c>
      <c r="AI7" s="5" t="str">
        <f t="shared" si="2"/>
        <v>Normal weight</v>
      </c>
      <c r="AJ7" s="5">
        <f t="shared" si="3"/>
        <v>8</v>
      </c>
      <c r="AK7" s="5" t="str">
        <f t="shared" si="4"/>
        <v>4-8 hours</v>
      </c>
    </row>
    <row r="8" ht="22.5" customHeight="1">
      <c r="A8" s="2">
        <v>46013.918452314814</v>
      </c>
      <c r="B8" s="3"/>
      <c r="C8" s="4" t="s">
        <v>37</v>
      </c>
      <c r="D8" s="4" t="s">
        <v>38</v>
      </c>
      <c r="E8" s="4" t="s">
        <v>39</v>
      </c>
      <c r="F8" s="4">
        <v>160.0</v>
      </c>
      <c r="G8" s="4">
        <v>55.0</v>
      </c>
      <c r="H8" s="3"/>
      <c r="I8" s="4" t="s">
        <v>40</v>
      </c>
      <c r="J8" s="4" t="s">
        <v>50</v>
      </c>
      <c r="K8" s="3"/>
      <c r="L8" s="4" t="s">
        <v>51</v>
      </c>
      <c r="M8" s="3"/>
      <c r="N8" s="4" t="s">
        <v>47</v>
      </c>
      <c r="O8" s="3"/>
      <c r="P8" s="4" t="s">
        <v>52</v>
      </c>
      <c r="Q8" s="4" t="s">
        <v>47</v>
      </c>
      <c r="R8" s="4" t="s">
        <v>44</v>
      </c>
      <c r="S8" s="3"/>
      <c r="T8" s="4" t="s">
        <v>42</v>
      </c>
      <c r="U8" s="4" t="s">
        <v>53</v>
      </c>
      <c r="V8" s="3"/>
      <c r="W8" s="4" t="s">
        <v>48</v>
      </c>
      <c r="X8" s="4" t="s">
        <v>55</v>
      </c>
      <c r="Y8" s="4" t="s">
        <v>56</v>
      </c>
      <c r="Z8" s="3"/>
      <c r="AA8" s="4">
        <v>3.0</v>
      </c>
      <c r="AB8" s="4">
        <v>3.0</v>
      </c>
      <c r="AC8" s="4">
        <v>2.0</v>
      </c>
      <c r="AD8" s="4">
        <v>2.0</v>
      </c>
      <c r="AE8" s="4">
        <v>1.0</v>
      </c>
      <c r="AF8" s="4">
        <v>1.0</v>
      </c>
      <c r="AG8" s="4">
        <v>3.0</v>
      </c>
      <c r="AH8" s="4">
        <f t="shared" si="1"/>
        <v>21.484375</v>
      </c>
      <c r="AI8" s="5" t="str">
        <f t="shared" si="2"/>
        <v>Normal weight</v>
      </c>
      <c r="AJ8" s="5">
        <f t="shared" si="3"/>
        <v>6</v>
      </c>
      <c r="AK8" s="5" t="str">
        <f t="shared" si="4"/>
        <v>4-8 hours</v>
      </c>
    </row>
    <row r="9" ht="22.5" customHeight="1">
      <c r="A9" s="2">
        <v>46013.91946466435</v>
      </c>
      <c r="B9" s="3"/>
      <c r="C9" s="4" t="s">
        <v>37</v>
      </c>
      <c r="D9" s="4" t="s">
        <v>38</v>
      </c>
      <c r="E9" s="4" t="s">
        <v>39</v>
      </c>
      <c r="F9" s="4">
        <v>162.0</v>
      </c>
      <c r="G9" s="4">
        <v>36.0</v>
      </c>
      <c r="H9" s="3"/>
      <c r="I9" s="4" t="s">
        <v>58</v>
      </c>
      <c r="J9" s="4" t="s">
        <v>50</v>
      </c>
      <c r="K9" s="3"/>
      <c r="L9" s="4" t="s">
        <v>51</v>
      </c>
      <c r="M9" s="3"/>
      <c r="N9" s="4" t="s">
        <v>56</v>
      </c>
      <c r="O9" s="3"/>
      <c r="P9" s="4" t="s">
        <v>63</v>
      </c>
      <c r="Q9" s="4" t="s">
        <v>44</v>
      </c>
      <c r="R9" s="4" t="s">
        <v>46</v>
      </c>
      <c r="S9" s="3"/>
      <c r="T9" s="4" t="s">
        <v>42</v>
      </c>
      <c r="U9" s="4" t="s">
        <v>47</v>
      </c>
      <c r="V9" s="3"/>
      <c r="W9" s="4" t="s">
        <v>48</v>
      </c>
      <c r="X9" s="4" t="s">
        <v>55</v>
      </c>
      <c r="Y9" s="4" t="s">
        <v>46</v>
      </c>
      <c r="Z9" s="3"/>
      <c r="AA9" s="4">
        <v>3.0</v>
      </c>
      <c r="AB9" s="4">
        <v>5.0</v>
      </c>
      <c r="AC9" s="4">
        <v>5.0</v>
      </c>
      <c r="AD9" s="4">
        <v>3.0</v>
      </c>
      <c r="AE9" s="4">
        <v>5.0</v>
      </c>
      <c r="AF9" s="4">
        <v>5.0</v>
      </c>
      <c r="AG9" s="4">
        <v>5.0</v>
      </c>
      <c r="AH9" s="4">
        <f t="shared" si="1"/>
        <v>13.71742112</v>
      </c>
      <c r="AI9" s="5" t="str">
        <f t="shared" si="2"/>
        <v>Underweight</v>
      </c>
      <c r="AJ9" s="5">
        <f t="shared" si="3"/>
        <v>4</v>
      </c>
      <c r="AK9" s="5" t="str">
        <f t="shared" si="4"/>
        <v>4-8 hours</v>
      </c>
    </row>
    <row r="10" ht="22.5" customHeight="1">
      <c r="A10" s="2">
        <v>46013.9210633912</v>
      </c>
      <c r="B10" s="3"/>
      <c r="C10" s="4" t="s">
        <v>37</v>
      </c>
      <c r="D10" s="4" t="s">
        <v>49</v>
      </c>
      <c r="E10" s="4" t="s">
        <v>39</v>
      </c>
      <c r="F10" s="4">
        <v>182.0</v>
      </c>
      <c r="G10" s="4">
        <v>80.0</v>
      </c>
      <c r="H10" s="3"/>
      <c r="I10" s="4" t="s">
        <v>58</v>
      </c>
      <c r="J10" s="4" t="s">
        <v>50</v>
      </c>
      <c r="K10" s="3"/>
      <c r="L10" s="4" t="s">
        <v>51</v>
      </c>
      <c r="M10" s="3"/>
      <c r="N10" s="4" t="s">
        <v>47</v>
      </c>
      <c r="O10" s="3"/>
      <c r="P10" s="4" t="s">
        <v>45</v>
      </c>
      <c r="Q10" s="4" t="s">
        <v>44</v>
      </c>
      <c r="R10" s="4" t="s">
        <v>47</v>
      </c>
      <c r="S10" s="3"/>
      <c r="T10" s="4" t="s">
        <v>42</v>
      </c>
      <c r="U10" s="4" t="s">
        <v>47</v>
      </c>
      <c r="V10" s="3"/>
      <c r="W10" s="4" t="s">
        <v>48</v>
      </c>
      <c r="X10" s="4" t="s">
        <v>55</v>
      </c>
      <c r="Y10" s="4" t="s">
        <v>44</v>
      </c>
      <c r="Z10" s="3"/>
      <c r="AA10" s="4">
        <v>3.0</v>
      </c>
      <c r="AB10" s="4">
        <v>3.0</v>
      </c>
      <c r="AC10" s="4">
        <v>2.0</v>
      </c>
      <c r="AD10" s="4">
        <v>4.0</v>
      </c>
      <c r="AE10" s="4">
        <v>3.0</v>
      </c>
      <c r="AF10" s="4">
        <v>3.0</v>
      </c>
      <c r="AG10" s="4">
        <v>3.0</v>
      </c>
      <c r="AH10" s="4">
        <f t="shared" si="1"/>
        <v>24.1516725</v>
      </c>
      <c r="AI10" s="5" t="str">
        <f t="shared" si="2"/>
        <v>Normal weight</v>
      </c>
      <c r="AJ10" s="5">
        <f t="shared" si="3"/>
        <v>4</v>
      </c>
      <c r="AK10" s="5" t="str">
        <f t="shared" si="4"/>
        <v>4-8 hours</v>
      </c>
    </row>
    <row r="11" ht="22.5" customHeight="1">
      <c r="A11" s="2">
        <v>46013.92149432871</v>
      </c>
      <c r="B11" s="3"/>
      <c r="C11" s="4" t="s">
        <v>37</v>
      </c>
      <c r="D11" s="4" t="s">
        <v>38</v>
      </c>
      <c r="E11" s="4" t="s">
        <v>39</v>
      </c>
      <c r="F11" s="4">
        <v>165.0</v>
      </c>
      <c r="G11" s="4">
        <v>45.0</v>
      </c>
      <c r="H11" s="3"/>
      <c r="I11" s="4" t="s">
        <v>40</v>
      </c>
      <c r="J11" s="4" t="s">
        <v>50</v>
      </c>
      <c r="K11" s="3"/>
      <c r="L11" s="4" t="s">
        <v>42</v>
      </c>
      <c r="M11" s="3"/>
      <c r="N11" s="4" t="s">
        <v>47</v>
      </c>
      <c r="O11" s="3"/>
      <c r="P11" s="4" t="s">
        <v>63</v>
      </c>
      <c r="Q11" s="4" t="s">
        <v>47</v>
      </c>
      <c r="R11" s="4" t="s">
        <v>44</v>
      </c>
      <c r="S11" s="3"/>
      <c r="T11" s="4" t="s">
        <v>42</v>
      </c>
      <c r="U11" s="4" t="s">
        <v>47</v>
      </c>
      <c r="V11" s="3"/>
      <c r="W11" s="4" t="s">
        <v>54</v>
      </c>
      <c r="X11" s="4" t="s">
        <v>46</v>
      </c>
      <c r="Y11" s="4" t="s">
        <v>44</v>
      </c>
      <c r="Z11" s="3"/>
      <c r="AA11" s="4">
        <v>4.0</v>
      </c>
      <c r="AB11" s="4">
        <v>2.0</v>
      </c>
      <c r="AC11" s="4">
        <v>1.0</v>
      </c>
      <c r="AD11" s="4">
        <v>5.0</v>
      </c>
      <c r="AE11" s="4">
        <v>5.0</v>
      </c>
      <c r="AF11" s="4">
        <v>5.0</v>
      </c>
      <c r="AG11" s="4">
        <v>5.0</v>
      </c>
      <c r="AH11" s="4">
        <f t="shared" si="1"/>
        <v>16.52892562</v>
      </c>
      <c r="AI11" s="5" t="str">
        <f t="shared" si="2"/>
        <v>Underweight</v>
      </c>
      <c r="AJ11" s="5">
        <f t="shared" si="3"/>
        <v>6</v>
      </c>
      <c r="AK11" s="5" t="str">
        <f t="shared" si="4"/>
        <v>4-8 hours</v>
      </c>
    </row>
    <row r="12" ht="22.5" customHeight="1">
      <c r="A12" s="2">
        <v>46013.922075208335</v>
      </c>
      <c r="B12" s="3"/>
      <c r="C12" s="4" t="s">
        <v>37</v>
      </c>
      <c r="D12" s="4" t="s">
        <v>38</v>
      </c>
      <c r="E12" s="4" t="s">
        <v>39</v>
      </c>
      <c r="F12" s="4">
        <v>162.0</v>
      </c>
      <c r="G12" s="4">
        <v>52.0</v>
      </c>
      <c r="H12" s="3"/>
      <c r="I12" s="4" t="s">
        <v>50</v>
      </c>
      <c r="J12" s="4" t="s">
        <v>50</v>
      </c>
      <c r="K12" s="3"/>
      <c r="L12" s="4" t="s">
        <v>42</v>
      </c>
      <c r="M12" s="4">
        <v>-0.75</v>
      </c>
      <c r="N12" s="4" t="s">
        <v>47</v>
      </c>
      <c r="O12" s="3"/>
      <c r="P12" s="4" t="s">
        <v>59</v>
      </c>
      <c r="Q12" s="4" t="s">
        <v>46</v>
      </c>
      <c r="R12" s="4" t="s">
        <v>44</v>
      </c>
      <c r="S12" s="3"/>
      <c r="T12" s="4" t="s">
        <v>42</v>
      </c>
      <c r="U12" s="4" t="s">
        <v>47</v>
      </c>
      <c r="V12" s="3"/>
      <c r="W12" s="4" t="s">
        <v>54</v>
      </c>
      <c r="X12" s="4" t="s">
        <v>46</v>
      </c>
      <c r="Y12" s="4" t="s">
        <v>44</v>
      </c>
      <c r="Z12" s="3"/>
      <c r="AA12" s="4">
        <v>2.0</v>
      </c>
      <c r="AB12" s="4">
        <v>1.0</v>
      </c>
      <c r="AC12" s="4">
        <v>1.0</v>
      </c>
      <c r="AD12" s="4">
        <v>1.0</v>
      </c>
      <c r="AE12" s="4">
        <v>3.0</v>
      </c>
      <c r="AF12" s="4">
        <v>3.0</v>
      </c>
      <c r="AG12" s="4">
        <v>4.0</v>
      </c>
      <c r="AH12" s="4">
        <f t="shared" si="1"/>
        <v>19.81405274</v>
      </c>
      <c r="AI12" s="5" t="str">
        <f t="shared" si="2"/>
        <v>Normal weight</v>
      </c>
      <c r="AJ12" s="5">
        <f t="shared" si="3"/>
        <v>2</v>
      </c>
      <c r="AK12" s="5" t="str">
        <f t="shared" si="4"/>
        <v>&lt; 4 hours</v>
      </c>
    </row>
    <row r="13" ht="22.5" customHeight="1">
      <c r="A13" s="2">
        <v>46013.92280729167</v>
      </c>
      <c r="B13" s="3"/>
      <c r="C13" s="4" t="s">
        <v>37</v>
      </c>
      <c r="D13" s="4" t="s">
        <v>38</v>
      </c>
      <c r="E13" s="4" t="s">
        <v>39</v>
      </c>
      <c r="F13" s="4">
        <v>158.0</v>
      </c>
      <c r="G13" s="4">
        <v>56.0</v>
      </c>
      <c r="H13" s="4" t="s">
        <v>69</v>
      </c>
      <c r="I13" s="4" t="s">
        <v>58</v>
      </c>
      <c r="J13" s="4" t="s">
        <v>50</v>
      </c>
      <c r="K13" s="4" t="s">
        <v>51</v>
      </c>
      <c r="L13" s="4" t="s">
        <v>42</v>
      </c>
      <c r="M13" s="3"/>
      <c r="N13" s="4" t="s">
        <v>47</v>
      </c>
      <c r="O13" s="3"/>
      <c r="P13" s="4" t="s">
        <v>59</v>
      </c>
      <c r="Q13" s="4" t="s">
        <v>46</v>
      </c>
      <c r="R13" s="4" t="s">
        <v>47</v>
      </c>
      <c r="S13" s="3"/>
      <c r="T13" s="4" t="s">
        <v>51</v>
      </c>
      <c r="U13" s="4" t="s">
        <v>47</v>
      </c>
      <c r="V13" s="4" t="s">
        <v>70</v>
      </c>
      <c r="W13" s="4" t="s">
        <v>71</v>
      </c>
      <c r="X13" s="4" t="s">
        <v>44</v>
      </c>
      <c r="Y13" s="4" t="s">
        <v>47</v>
      </c>
      <c r="Z13" s="3"/>
      <c r="AA13" s="4">
        <v>2.0</v>
      </c>
      <c r="AB13" s="4">
        <v>2.0</v>
      </c>
      <c r="AC13" s="4">
        <v>2.0</v>
      </c>
      <c r="AD13" s="4">
        <v>2.0</v>
      </c>
      <c r="AE13" s="4">
        <v>2.0</v>
      </c>
      <c r="AF13" s="4">
        <v>2.0</v>
      </c>
      <c r="AG13" s="4">
        <v>2.0</v>
      </c>
      <c r="AH13" s="4">
        <f t="shared" si="1"/>
        <v>22.43230252</v>
      </c>
      <c r="AI13" s="5" t="str">
        <f t="shared" si="2"/>
        <v>Normal weight</v>
      </c>
      <c r="AJ13" s="5">
        <f t="shared" si="3"/>
        <v>4</v>
      </c>
      <c r="AK13" s="5" t="str">
        <f t="shared" si="4"/>
        <v>4-8 hours</v>
      </c>
    </row>
    <row r="14" ht="22.5" customHeight="1">
      <c r="A14" s="2">
        <v>46013.92358957176</v>
      </c>
      <c r="B14" s="3"/>
      <c r="C14" s="4" t="s">
        <v>37</v>
      </c>
      <c r="D14" s="4" t="s">
        <v>38</v>
      </c>
      <c r="E14" s="4" t="s">
        <v>39</v>
      </c>
      <c r="F14" s="4">
        <v>166.0</v>
      </c>
      <c r="G14" s="4">
        <v>65.0</v>
      </c>
      <c r="H14" s="3"/>
      <c r="I14" s="4" t="s">
        <v>72</v>
      </c>
      <c r="J14" s="4" t="s">
        <v>41</v>
      </c>
      <c r="K14" s="3"/>
      <c r="L14" s="4" t="s">
        <v>42</v>
      </c>
      <c r="M14" s="4">
        <v>-1.0</v>
      </c>
      <c r="N14" s="4" t="s">
        <v>44</v>
      </c>
      <c r="O14" s="3"/>
      <c r="P14" s="4" t="s">
        <v>45</v>
      </c>
      <c r="Q14" s="4" t="s">
        <v>46</v>
      </c>
      <c r="R14" s="4" t="s">
        <v>44</v>
      </c>
      <c r="S14" s="3"/>
      <c r="T14" s="4" t="s">
        <v>42</v>
      </c>
      <c r="U14" s="4" t="s">
        <v>47</v>
      </c>
      <c r="V14" s="3"/>
      <c r="W14" s="4" t="s">
        <v>54</v>
      </c>
      <c r="X14" s="4" t="s">
        <v>55</v>
      </c>
      <c r="Y14" s="4" t="s">
        <v>56</v>
      </c>
      <c r="Z14" s="3"/>
      <c r="AA14" s="4">
        <v>1.0</v>
      </c>
      <c r="AB14" s="4">
        <v>3.0</v>
      </c>
      <c r="AC14" s="4">
        <v>2.0</v>
      </c>
      <c r="AD14" s="4">
        <v>3.0</v>
      </c>
      <c r="AE14" s="4">
        <v>1.0</v>
      </c>
      <c r="AF14" s="4">
        <v>1.0</v>
      </c>
      <c r="AG14" s="4">
        <v>1.0</v>
      </c>
      <c r="AH14" s="4">
        <f t="shared" si="1"/>
        <v>23.58832922</v>
      </c>
      <c r="AI14" s="5" t="str">
        <f t="shared" si="2"/>
        <v>Normal weight</v>
      </c>
      <c r="AJ14" s="5">
        <f t="shared" si="3"/>
        <v>7</v>
      </c>
      <c r="AK14" s="5" t="str">
        <f t="shared" si="4"/>
        <v>4-8 hours</v>
      </c>
    </row>
    <row r="15" ht="22.5" customHeight="1">
      <c r="A15" s="2">
        <v>46013.92509418981</v>
      </c>
      <c r="B15" s="3"/>
      <c r="C15" s="4" t="s">
        <v>37</v>
      </c>
      <c r="D15" s="4" t="s">
        <v>38</v>
      </c>
      <c r="E15" s="4" t="s">
        <v>39</v>
      </c>
      <c r="F15" s="4">
        <v>167.64</v>
      </c>
      <c r="G15" s="4">
        <v>55.0</v>
      </c>
      <c r="H15" s="4" t="s">
        <v>73</v>
      </c>
      <c r="I15" s="4" t="s">
        <v>41</v>
      </c>
      <c r="J15" s="4" t="s">
        <v>50</v>
      </c>
      <c r="K15" s="4" t="s">
        <v>74</v>
      </c>
      <c r="L15" s="4" t="s">
        <v>42</v>
      </c>
      <c r="M15" s="3"/>
      <c r="N15" s="4" t="s">
        <v>47</v>
      </c>
      <c r="O15" s="3"/>
      <c r="P15" s="4" t="s">
        <v>52</v>
      </c>
      <c r="Q15" s="4" t="s">
        <v>75</v>
      </c>
      <c r="R15" s="4" t="s">
        <v>46</v>
      </c>
      <c r="S15" s="3"/>
      <c r="T15" s="4" t="s">
        <v>51</v>
      </c>
      <c r="U15" s="4" t="s">
        <v>76</v>
      </c>
      <c r="V15" s="3"/>
      <c r="W15" s="4" t="s">
        <v>77</v>
      </c>
      <c r="X15" s="4" t="s">
        <v>44</v>
      </c>
      <c r="Y15" s="4" t="s">
        <v>46</v>
      </c>
      <c r="Z15" s="3"/>
      <c r="AA15" s="4">
        <v>2.0</v>
      </c>
      <c r="AB15" s="4">
        <v>2.0</v>
      </c>
      <c r="AC15" s="4">
        <v>2.0</v>
      </c>
      <c r="AD15" s="4">
        <v>2.0</v>
      </c>
      <c r="AE15" s="4">
        <v>2.0</v>
      </c>
      <c r="AF15" s="4">
        <v>2.0</v>
      </c>
      <c r="AG15" s="4">
        <v>2.0</v>
      </c>
      <c r="AH15" s="4">
        <f t="shared" si="1"/>
        <v>19.57074621</v>
      </c>
      <c r="AI15" s="5" t="str">
        <f t="shared" si="2"/>
        <v>Normal weight</v>
      </c>
      <c r="AJ15" s="5">
        <f t="shared" si="3"/>
        <v>8</v>
      </c>
      <c r="AK15" s="5" t="str">
        <f t="shared" si="4"/>
        <v>4-8 hours</v>
      </c>
    </row>
    <row r="16" ht="22.5" customHeight="1">
      <c r="A16" s="2">
        <v>46013.92552118056</v>
      </c>
      <c r="B16" s="3"/>
      <c r="C16" s="4" t="s">
        <v>78</v>
      </c>
      <c r="D16" s="4" t="s">
        <v>49</v>
      </c>
      <c r="E16" s="4" t="s">
        <v>79</v>
      </c>
      <c r="F16" s="4">
        <v>185.0</v>
      </c>
      <c r="G16" s="4">
        <v>111.0</v>
      </c>
      <c r="H16" s="4" t="s">
        <v>80</v>
      </c>
      <c r="I16" s="4" t="s">
        <v>50</v>
      </c>
      <c r="J16" s="4" t="s">
        <v>50</v>
      </c>
      <c r="K16" s="3"/>
      <c r="L16" s="4" t="s">
        <v>51</v>
      </c>
      <c r="M16" s="4" t="s">
        <v>51</v>
      </c>
      <c r="N16" s="4" t="s">
        <v>44</v>
      </c>
      <c r="O16" s="4" t="s">
        <v>42</v>
      </c>
      <c r="P16" s="4" t="s">
        <v>59</v>
      </c>
      <c r="Q16" s="4" t="s">
        <v>46</v>
      </c>
      <c r="R16" s="4" t="s">
        <v>47</v>
      </c>
      <c r="S16" s="3"/>
      <c r="T16" s="4" t="s">
        <v>42</v>
      </c>
      <c r="U16" s="4" t="s">
        <v>53</v>
      </c>
      <c r="V16" s="3"/>
      <c r="W16" s="4" t="s">
        <v>54</v>
      </c>
      <c r="X16" s="4" t="s">
        <v>55</v>
      </c>
      <c r="Y16" s="4" t="s">
        <v>60</v>
      </c>
      <c r="Z16" s="3"/>
      <c r="AA16" s="4">
        <v>4.0</v>
      </c>
      <c r="AB16" s="4">
        <v>3.0</v>
      </c>
      <c r="AC16" s="4">
        <v>4.0</v>
      </c>
      <c r="AD16" s="4">
        <v>3.0</v>
      </c>
      <c r="AE16" s="4">
        <v>3.0</v>
      </c>
      <c r="AF16" s="4">
        <v>2.0</v>
      </c>
      <c r="AG16" s="4">
        <v>5.0</v>
      </c>
      <c r="AH16" s="4">
        <f t="shared" si="1"/>
        <v>32.43243243</v>
      </c>
      <c r="AI16" s="5" t="str">
        <f t="shared" si="2"/>
        <v>Obesity</v>
      </c>
      <c r="AJ16" s="5">
        <f t="shared" si="3"/>
        <v>2</v>
      </c>
      <c r="AK16" s="5" t="str">
        <f t="shared" si="4"/>
        <v>&lt; 4 hours</v>
      </c>
    </row>
    <row r="17" ht="22.5" customHeight="1">
      <c r="A17" s="2">
        <v>46013.92718275463</v>
      </c>
      <c r="B17" s="3"/>
      <c r="C17" s="4" t="s">
        <v>37</v>
      </c>
      <c r="D17" s="4" t="s">
        <v>38</v>
      </c>
      <c r="E17" s="4" t="s">
        <v>39</v>
      </c>
      <c r="F17" s="4">
        <v>168.0</v>
      </c>
      <c r="G17" s="4">
        <v>75.0</v>
      </c>
      <c r="H17" s="3"/>
      <c r="I17" s="4" t="s">
        <v>40</v>
      </c>
      <c r="J17" s="4" t="s">
        <v>40</v>
      </c>
      <c r="K17" s="3"/>
      <c r="L17" s="4" t="s">
        <v>51</v>
      </c>
      <c r="M17" s="4" t="s">
        <v>81</v>
      </c>
      <c r="N17" s="4" t="s">
        <v>47</v>
      </c>
      <c r="O17" s="3"/>
      <c r="P17" s="4" t="s">
        <v>52</v>
      </c>
      <c r="Q17" s="4" t="s">
        <v>47</v>
      </c>
      <c r="R17" s="4" t="s">
        <v>47</v>
      </c>
      <c r="S17" s="3"/>
      <c r="T17" s="4" t="s">
        <v>51</v>
      </c>
      <c r="U17" s="4" t="s">
        <v>47</v>
      </c>
      <c r="V17" s="3"/>
      <c r="W17" s="4" t="s">
        <v>54</v>
      </c>
      <c r="X17" s="4" t="s">
        <v>55</v>
      </c>
      <c r="Y17" s="4" t="s">
        <v>56</v>
      </c>
      <c r="Z17" s="3"/>
      <c r="AA17" s="4">
        <v>4.0</v>
      </c>
      <c r="AB17" s="4">
        <v>4.0</v>
      </c>
      <c r="AC17" s="4">
        <v>2.0</v>
      </c>
      <c r="AD17" s="4">
        <v>4.0</v>
      </c>
      <c r="AE17" s="4">
        <v>3.0</v>
      </c>
      <c r="AF17" s="4">
        <v>4.0</v>
      </c>
      <c r="AG17" s="4">
        <v>4.0</v>
      </c>
      <c r="AH17" s="4">
        <f t="shared" si="1"/>
        <v>26.57312925</v>
      </c>
      <c r="AI17" s="5" t="str">
        <f t="shared" si="2"/>
        <v>Overweight</v>
      </c>
      <c r="AJ17" s="5">
        <f t="shared" si="3"/>
        <v>10</v>
      </c>
      <c r="AK17" s="5" t="str">
        <f t="shared" si="4"/>
        <v>8-12 hours</v>
      </c>
    </row>
    <row r="18" ht="22.5" customHeight="1">
      <c r="A18" s="2">
        <v>46013.92817684027</v>
      </c>
      <c r="B18" s="3"/>
      <c r="C18" s="4" t="s">
        <v>37</v>
      </c>
      <c r="D18" s="4" t="s">
        <v>38</v>
      </c>
      <c r="E18" s="4" t="s">
        <v>39</v>
      </c>
      <c r="F18" s="4">
        <v>170.0</v>
      </c>
      <c r="G18" s="4">
        <v>75.0</v>
      </c>
      <c r="H18" s="3"/>
      <c r="I18" s="4" t="s">
        <v>50</v>
      </c>
      <c r="J18" s="4" t="s">
        <v>58</v>
      </c>
      <c r="K18" s="3"/>
      <c r="L18" s="4" t="s">
        <v>42</v>
      </c>
      <c r="M18" s="4">
        <v>5.5</v>
      </c>
      <c r="N18" s="4" t="s">
        <v>47</v>
      </c>
      <c r="O18" s="3"/>
      <c r="P18" s="4" t="s">
        <v>59</v>
      </c>
      <c r="Q18" s="4" t="s">
        <v>46</v>
      </c>
      <c r="R18" s="4" t="s">
        <v>47</v>
      </c>
      <c r="S18" s="3"/>
      <c r="T18" s="4" t="s">
        <v>51</v>
      </c>
      <c r="U18" s="4" t="s">
        <v>53</v>
      </c>
      <c r="V18" s="3"/>
      <c r="W18" s="4" t="s">
        <v>54</v>
      </c>
      <c r="X18" s="4" t="s">
        <v>47</v>
      </c>
      <c r="Y18" s="4" t="s">
        <v>47</v>
      </c>
      <c r="Z18" s="3"/>
      <c r="AA18" s="4">
        <v>2.0</v>
      </c>
      <c r="AB18" s="4">
        <v>2.0</v>
      </c>
      <c r="AC18" s="4">
        <v>3.0</v>
      </c>
      <c r="AD18" s="4">
        <v>3.0</v>
      </c>
      <c r="AE18" s="4">
        <v>4.0</v>
      </c>
      <c r="AF18" s="4">
        <v>2.0</v>
      </c>
      <c r="AG18" s="4">
        <v>4.0</v>
      </c>
      <c r="AH18" s="4">
        <f t="shared" si="1"/>
        <v>25.95155709</v>
      </c>
      <c r="AI18" s="5" t="str">
        <f t="shared" si="2"/>
        <v>Overweight</v>
      </c>
      <c r="AJ18" s="5">
        <f t="shared" si="3"/>
        <v>4</v>
      </c>
      <c r="AK18" s="5" t="str">
        <f t="shared" si="4"/>
        <v>4-8 hours</v>
      </c>
    </row>
    <row r="19" ht="22.5" customHeight="1">
      <c r="A19" s="2">
        <v>46013.93147730324</v>
      </c>
      <c r="B19" s="3"/>
      <c r="C19" s="4" t="s">
        <v>37</v>
      </c>
      <c r="D19" s="4" t="s">
        <v>49</v>
      </c>
      <c r="E19" s="4" t="s">
        <v>39</v>
      </c>
      <c r="F19" s="4">
        <v>167.64</v>
      </c>
      <c r="G19" s="4">
        <v>55.15</v>
      </c>
      <c r="H19" s="3"/>
      <c r="I19" s="4" t="s">
        <v>58</v>
      </c>
      <c r="J19" s="4" t="s">
        <v>50</v>
      </c>
      <c r="K19" s="3"/>
      <c r="L19" s="4" t="s">
        <v>42</v>
      </c>
      <c r="M19" s="4" t="s">
        <v>82</v>
      </c>
      <c r="N19" s="4" t="s">
        <v>47</v>
      </c>
      <c r="O19" s="3"/>
      <c r="P19" s="4" t="s">
        <v>63</v>
      </c>
      <c r="Q19" s="4" t="s">
        <v>47</v>
      </c>
      <c r="R19" s="4" t="s">
        <v>44</v>
      </c>
      <c r="S19" s="3"/>
      <c r="T19" s="4" t="s">
        <v>51</v>
      </c>
      <c r="U19" s="4" t="s">
        <v>53</v>
      </c>
      <c r="V19" s="3"/>
      <c r="W19" s="4" t="s">
        <v>54</v>
      </c>
      <c r="X19" s="4" t="s">
        <v>55</v>
      </c>
      <c r="Y19" s="4" t="s">
        <v>56</v>
      </c>
      <c r="Z19" s="3"/>
      <c r="AA19" s="4">
        <v>5.0</v>
      </c>
      <c r="AB19" s="4">
        <v>1.0</v>
      </c>
      <c r="AC19" s="4">
        <v>1.0</v>
      </c>
      <c r="AD19" s="4">
        <v>5.0</v>
      </c>
      <c r="AE19" s="4">
        <v>5.0</v>
      </c>
      <c r="AF19" s="4">
        <v>5.0</v>
      </c>
      <c r="AG19" s="4">
        <v>3.0</v>
      </c>
      <c r="AH19" s="4">
        <f t="shared" si="1"/>
        <v>19.62412097</v>
      </c>
      <c r="AI19" s="5" t="str">
        <f t="shared" si="2"/>
        <v>Normal weight</v>
      </c>
      <c r="AJ19" s="5">
        <f t="shared" si="3"/>
        <v>4</v>
      </c>
      <c r="AK19" s="5" t="str">
        <f t="shared" si="4"/>
        <v>4-8 hours</v>
      </c>
    </row>
    <row r="20" ht="22.5" customHeight="1">
      <c r="A20" s="2">
        <v>46013.93170262732</v>
      </c>
      <c r="B20" s="3"/>
      <c r="C20" s="4" t="s">
        <v>37</v>
      </c>
      <c r="D20" s="4" t="s">
        <v>83</v>
      </c>
      <c r="E20" s="4" t="s">
        <v>39</v>
      </c>
      <c r="F20" s="4">
        <v>165.0</v>
      </c>
      <c r="G20" s="4">
        <v>57.0</v>
      </c>
      <c r="H20" s="3"/>
      <c r="I20" s="4" t="s">
        <v>58</v>
      </c>
      <c r="J20" s="4" t="s">
        <v>58</v>
      </c>
      <c r="K20" s="3"/>
      <c r="L20" s="4" t="s">
        <v>42</v>
      </c>
      <c r="M20" s="4">
        <v>-1.5</v>
      </c>
      <c r="N20" s="4" t="s">
        <v>47</v>
      </c>
      <c r="O20" s="3"/>
      <c r="P20" s="4" t="s">
        <v>52</v>
      </c>
      <c r="Q20" s="4" t="s">
        <v>46</v>
      </c>
      <c r="R20" s="4" t="s">
        <v>47</v>
      </c>
      <c r="S20" s="3"/>
      <c r="T20" s="4" t="s">
        <v>42</v>
      </c>
      <c r="U20" s="4" t="s">
        <v>53</v>
      </c>
      <c r="V20" s="3"/>
      <c r="W20" s="4" t="s">
        <v>48</v>
      </c>
      <c r="X20" s="4" t="s">
        <v>46</v>
      </c>
      <c r="Y20" s="4" t="s">
        <v>56</v>
      </c>
      <c r="Z20" s="3"/>
      <c r="AA20" s="4">
        <v>2.0</v>
      </c>
      <c r="AB20" s="4">
        <v>2.0</v>
      </c>
      <c r="AC20" s="4">
        <v>1.0</v>
      </c>
      <c r="AD20" s="4">
        <v>1.0</v>
      </c>
      <c r="AE20" s="4">
        <v>3.0</v>
      </c>
      <c r="AF20" s="4">
        <v>4.0</v>
      </c>
      <c r="AG20" s="4">
        <v>3.0</v>
      </c>
      <c r="AH20" s="4">
        <f t="shared" si="1"/>
        <v>20.93663912</v>
      </c>
      <c r="AI20" s="5" t="str">
        <f t="shared" si="2"/>
        <v>Normal weight</v>
      </c>
      <c r="AJ20" s="5">
        <f t="shared" si="3"/>
        <v>6</v>
      </c>
      <c r="AK20" s="5" t="str">
        <f t="shared" si="4"/>
        <v>4-8 hours</v>
      </c>
    </row>
    <row r="21" ht="22.5" customHeight="1">
      <c r="A21" s="2">
        <v>46013.934425590276</v>
      </c>
      <c r="B21" s="3"/>
      <c r="C21" s="4" t="s">
        <v>37</v>
      </c>
      <c r="D21" s="4" t="s">
        <v>49</v>
      </c>
      <c r="E21" s="4" t="s">
        <v>39</v>
      </c>
      <c r="F21" s="4">
        <v>168.0</v>
      </c>
      <c r="G21" s="4">
        <v>60.0</v>
      </c>
      <c r="H21" s="3"/>
      <c r="I21" s="4" t="s">
        <v>40</v>
      </c>
      <c r="J21" s="4" t="s">
        <v>40</v>
      </c>
      <c r="K21" s="3"/>
      <c r="L21" s="4" t="s">
        <v>42</v>
      </c>
      <c r="M21" s="4" t="s">
        <v>84</v>
      </c>
      <c r="N21" s="4" t="s">
        <v>46</v>
      </c>
      <c r="O21" s="3"/>
      <c r="P21" s="4" t="s">
        <v>59</v>
      </c>
      <c r="Q21" s="4" t="s">
        <v>46</v>
      </c>
      <c r="R21" s="4" t="s">
        <v>47</v>
      </c>
      <c r="S21" s="3"/>
      <c r="T21" s="4" t="s">
        <v>42</v>
      </c>
      <c r="U21" s="4" t="s">
        <v>47</v>
      </c>
      <c r="V21" s="3"/>
      <c r="W21" s="4" t="s">
        <v>54</v>
      </c>
      <c r="X21" s="4" t="s">
        <v>55</v>
      </c>
      <c r="Y21" s="4" t="s">
        <v>56</v>
      </c>
      <c r="Z21" s="3"/>
      <c r="AA21" s="4">
        <v>4.0</v>
      </c>
      <c r="AB21" s="4">
        <v>3.0</v>
      </c>
      <c r="AC21" s="4">
        <v>2.0</v>
      </c>
      <c r="AD21" s="4">
        <v>5.0</v>
      </c>
      <c r="AE21" s="4">
        <v>5.0</v>
      </c>
      <c r="AF21" s="4">
        <v>5.0</v>
      </c>
      <c r="AG21" s="4">
        <v>5.0</v>
      </c>
      <c r="AH21" s="4">
        <f t="shared" si="1"/>
        <v>21.2585034</v>
      </c>
      <c r="AI21" s="5" t="str">
        <f t="shared" si="2"/>
        <v>Normal weight</v>
      </c>
      <c r="AJ21" s="5">
        <f t="shared" si="3"/>
        <v>10</v>
      </c>
      <c r="AK21" s="5" t="str">
        <f t="shared" si="4"/>
        <v>8-12 hours</v>
      </c>
    </row>
    <row r="22" ht="22.5" customHeight="1">
      <c r="A22" s="2">
        <v>46013.9388353588</v>
      </c>
      <c r="B22" s="3"/>
      <c r="C22" s="4" t="s">
        <v>37</v>
      </c>
      <c r="D22" s="4" t="s">
        <v>38</v>
      </c>
      <c r="E22" s="4" t="s">
        <v>39</v>
      </c>
      <c r="F22" s="4">
        <v>150.0</v>
      </c>
      <c r="G22" s="4">
        <v>48.0</v>
      </c>
      <c r="H22" s="3"/>
      <c r="I22" s="4" t="s">
        <v>58</v>
      </c>
      <c r="J22" s="4" t="s">
        <v>50</v>
      </c>
      <c r="K22" s="3"/>
      <c r="L22" s="4" t="s">
        <v>51</v>
      </c>
      <c r="M22" s="3"/>
      <c r="N22" s="4" t="s">
        <v>46</v>
      </c>
      <c r="O22" s="3"/>
      <c r="P22" s="4" t="s">
        <v>63</v>
      </c>
      <c r="Q22" s="4" t="s">
        <v>46</v>
      </c>
      <c r="R22" s="4" t="s">
        <v>44</v>
      </c>
      <c r="S22" s="3"/>
      <c r="T22" s="4" t="s">
        <v>42</v>
      </c>
      <c r="U22" s="4" t="s">
        <v>47</v>
      </c>
      <c r="V22" s="3"/>
      <c r="W22" s="4" t="s">
        <v>77</v>
      </c>
      <c r="X22" s="4" t="s">
        <v>46</v>
      </c>
      <c r="Y22" s="4" t="s">
        <v>46</v>
      </c>
      <c r="Z22" s="3"/>
      <c r="AA22" s="4">
        <v>3.0</v>
      </c>
      <c r="AB22" s="4">
        <v>1.0</v>
      </c>
      <c r="AC22" s="4">
        <v>1.0</v>
      </c>
      <c r="AD22" s="4">
        <v>3.0</v>
      </c>
      <c r="AE22" s="4">
        <v>3.0</v>
      </c>
      <c r="AF22" s="4">
        <v>3.0</v>
      </c>
      <c r="AG22" s="4">
        <v>3.0</v>
      </c>
      <c r="AH22" s="4">
        <f t="shared" si="1"/>
        <v>21.33333333</v>
      </c>
      <c r="AI22" s="5" t="str">
        <f t="shared" si="2"/>
        <v>Normal weight</v>
      </c>
      <c r="AJ22" s="5">
        <f t="shared" si="3"/>
        <v>4</v>
      </c>
      <c r="AK22" s="5" t="str">
        <f t="shared" si="4"/>
        <v>4-8 hours</v>
      </c>
    </row>
    <row r="23" ht="22.5" customHeight="1">
      <c r="A23" s="2">
        <v>46013.94065013889</v>
      </c>
      <c r="B23" s="3"/>
      <c r="C23" s="4" t="s">
        <v>37</v>
      </c>
      <c r="D23" s="4" t="s">
        <v>49</v>
      </c>
      <c r="E23" s="4" t="s">
        <v>39</v>
      </c>
      <c r="F23" s="4">
        <v>186.0</v>
      </c>
      <c r="G23" s="4">
        <v>92.0</v>
      </c>
      <c r="H23" s="3"/>
      <c r="I23" s="4" t="s">
        <v>58</v>
      </c>
      <c r="J23" s="4" t="s">
        <v>50</v>
      </c>
      <c r="K23" s="3"/>
      <c r="L23" s="4" t="s">
        <v>42</v>
      </c>
      <c r="M23" s="4">
        <v>-4.0</v>
      </c>
      <c r="N23" s="4" t="s">
        <v>47</v>
      </c>
      <c r="O23" s="3"/>
      <c r="P23" s="4" t="s">
        <v>52</v>
      </c>
      <c r="Q23" s="4" t="s">
        <v>47</v>
      </c>
      <c r="R23" s="4" t="s">
        <v>47</v>
      </c>
      <c r="S23" s="3"/>
      <c r="T23" s="4" t="s">
        <v>42</v>
      </c>
      <c r="U23" s="4" t="s">
        <v>47</v>
      </c>
      <c r="V23" s="3"/>
      <c r="W23" s="4" t="s">
        <v>71</v>
      </c>
      <c r="X23" s="4" t="s">
        <v>55</v>
      </c>
      <c r="Y23" s="4" t="s">
        <v>56</v>
      </c>
      <c r="Z23" s="3"/>
      <c r="AA23" s="4">
        <v>4.0</v>
      </c>
      <c r="AB23" s="4">
        <v>3.0</v>
      </c>
      <c r="AC23" s="4">
        <v>4.0</v>
      </c>
      <c r="AD23" s="4">
        <v>2.0</v>
      </c>
      <c r="AE23" s="4">
        <v>3.0</v>
      </c>
      <c r="AF23" s="4">
        <v>1.0</v>
      </c>
      <c r="AG23" s="4">
        <v>5.0</v>
      </c>
      <c r="AH23" s="4">
        <f t="shared" si="1"/>
        <v>26.59266967</v>
      </c>
      <c r="AI23" s="5" t="str">
        <f t="shared" si="2"/>
        <v>Overweight</v>
      </c>
      <c r="AJ23" s="5">
        <f t="shared" si="3"/>
        <v>4</v>
      </c>
      <c r="AK23" s="5" t="str">
        <f t="shared" si="4"/>
        <v>4-8 hours</v>
      </c>
    </row>
    <row r="24" ht="22.5" customHeight="1">
      <c r="A24" s="2">
        <v>46013.941170659724</v>
      </c>
      <c r="B24" s="3"/>
      <c r="C24" s="4" t="s">
        <v>37</v>
      </c>
      <c r="D24" s="4" t="s">
        <v>38</v>
      </c>
      <c r="E24" s="4" t="s">
        <v>39</v>
      </c>
      <c r="F24" s="4">
        <v>155.0</v>
      </c>
      <c r="G24" s="4">
        <v>46.0</v>
      </c>
      <c r="H24" s="3"/>
      <c r="I24" s="4" t="s">
        <v>58</v>
      </c>
      <c r="J24" s="4" t="s">
        <v>58</v>
      </c>
      <c r="K24" s="3"/>
      <c r="L24" s="4" t="s">
        <v>42</v>
      </c>
      <c r="M24" s="4" t="s">
        <v>85</v>
      </c>
      <c r="N24" s="4" t="s">
        <v>47</v>
      </c>
      <c r="O24" s="3"/>
      <c r="P24" s="4" t="s">
        <v>63</v>
      </c>
      <c r="Q24" s="4" t="s">
        <v>47</v>
      </c>
      <c r="R24" s="4" t="s">
        <v>46</v>
      </c>
      <c r="S24" s="3"/>
      <c r="T24" s="4" t="s">
        <v>42</v>
      </c>
      <c r="U24" s="4" t="s">
        <v>53</v>
      </c>
      <c r="V24" s="3"/>
      <c r="W24" s="4" t="s">
        <v>48</v>
      </c>
      <c r="X24" s="4" t="s">
        <v>55</v>
      </c>
      <c r="Y24" s="4" t="s">
        <v>56</v>
      </c>
      <c r="Z24" s="3"/>
      <c r="AA24" s="4">
        <v>2.0</v>
      </c>
      <c r="AB24" s="4">
        <v>4.0</v>
      </c>
      <c r="AC24" s="4">
        <v>3.0</v>
      </c>
      <c r="AD24" s="4">
        <v>2.0</v>
      </c>
      <c r="AE24" s="4">
        <v>2.0</v>
      </c>
      <c r="AF24" s="4">
        <v>4.0</v>
      </c>
      <c r="AG24" s="4">
        <v>2.0</v>
      </c>
      <c r="AH24" s="4">
        <f t="shared" si="1"/>
        <v>19.14672216</v>
      </c>
      <c r="AI24" s="5" t="str">
        <f t="shared" si="2"/>
        <v>Normal weight</v>
      </c>
      <c r="AJ24" s="5">
        <f t="shared" si="3"/>
        <v>6</v>
      </c>
      <c r="AK24" s="5" t="str">
        <f t="shared" si="4"/>
        <v>4-8 hours</v>
      </c>
    </row>
    <row r="25" ht="22.5" customHeight="1">
      <c r="A25" s="2">
        <v>46013.94122444444</v>
      </c>
      <c r="B25" s="3"/>
      <c r="C25" s="4" t="s">
        <v>37</v>
      </c>
      <c r="D25" s="4" t="s">
        <v>38</v>
      </c>
      <c r="E25" s="4" t="s">
        <v>39</v>
      </c>
      <c r="F25" s="4">
        <v>160.0</v>
      </c>
      <c r="G25" s="4">
        <v>50.0</v>
      </c>
      <c r="H25" s="3"/>
      <c r="I25" s="4" t="s">
        <v>40</v>
      </c>
      <c r="J25" s="4" t="s">
        <v>40</v>
      </c>
      <c r="K25" s="3"/>
      <c r="L25" s="4" t="s">
        <v>42</v>
      </c>
      <c r="M25" s="4">
        <v>-3.5</v>
      </c>
      <c r="N25" s="4" t="s">
        <v>47</v>
      </c>
      <c r="O25" s="3"/>
      <c r="P25" s="4" t="s">
        <v>63</v>
      </c>
      <c r="Q25" s="4" t="s">
        <v>47</v>
      </c>
      <c r="R25" s="4" t="s">
        <v>56</v>
      </c>
      <c r="S25" s="3"/>
      <c r="T25" s="4" t="s">
        <v>51</v>
      </c>
      <c r="U25" s="4" t="s">
        <v>47</v>
      </c>
      <c r="V25" s="3"/>
      <c r="W25" s="4" t="s">
        <v>71</v>
      </c>
      <c r="X25" s="4" t="s">
        <v>46</v>
      </c>
      <c r="Y25" s="4" t="s">
        <v>56</v>
      </c>
      <c r="Z25" s="3"/>
      <c r="AA25" s="4">
        <v>5.0</v>
      </c>
      <c r="AB25" s="4">
        <v>2.0</v>
      </c>
      <c r="AC25" s="4">
        <v>4.0</v>
      </c>
      <c r="AD25" s="4">
        <v>5.0</v>
      </c>
      <c r="AE25" s="4">
        <v>5.0</v>
      </c>
      <c r="AF25" s="4">
        <v>2.0</v>
      </c>
      <c r="AG25" s="4">
        <v>2.0</v>
      </c>
      <c r="AH25" s="4">
        <f t="shared" si="1"/>
        <v>19.53125</v>
      </c>
      <c r="AI25" s="5" t="str">
        <f t="shared" si="2"/>
        <v>Normal weight</v>
      </c>
      <c r="AJ25" s="5">
        <f t="shared" si="3"/>
        <v>10</v>
      </c>
      <c r="AK25" s="5" t="str">
        <f t="shared" si="4"/>
        <v>8-12 hours</v>
      </c>
    </row>
    <row r="26" ht="22.5" customHeight="1">
      <c r="A26" s="2">
        <v>46013.95317476852</v>
      </c>
      <c r="B26" s="3"/>
      <c r="C26" s="4" t="s">
        <v>86</v>
      </c>
      <c r="D26" s="4" t="s">
        <v>49</v>
      </c>
      <c r="E26" s="4" t="s">
        <v>87</v>
      </c>
      <c r="F26" s="4">
        <v>155.0</v>
      </c>
      <c r="G26" s="4">
        <v>78.0</v>
      </c>
      <c r="H26" s="3"/>
      <c r="I26" s="4" t="s">
        <v>50</v>
      </c>
      <c r="J26" s="4" t="s">
        <v>58</v>
      </c>
      <c r="K26" s="3"/>
      <c r="L26" s="4" t="s">
        <v>42</v>
      </c>
      <c r="M26" s="3"/>
      <c r="N26" s="4" t="s">
        <v>47</v>
      </c>
      <c r="O26" s="3"/>
      <c r="P26" s="4" t="s">
        <v>52</v>
      </c>
      <c r="Q26" s="4" t="s">
        <v>44</v>
      </c>
      <c r="R26" s="4" t="s">
        <v>47</v>
      </c>
      <c r="S26" s="3"/>
      <c r="T26" s="4" t="s">
        <v>42</v>
      </c>
      <c r="U26" s="4" t="s">
        <v>53</v>
      </c>
      <c r="V26" s="3"/>
      <c r="W26" s="4" t="s">
        <v>71</v>
      </c>
      <c r="X26" s="4" t="s">
        <v>47</v>
      </c>
      <c r="Y26" s="4" t="s">
        <v>44</v>
      </c>
      <c r="Z26" s="3"/>
      <c r="AA26" s="4">
        <v>2.0</v>
      </c>
      <c r="AB26" s="4">
        <v>2.0</v>
      </c>
      <c r="AC26" s="4">
        <v>1.0</v>
      </c>
      <c r="AD26" s="4">
        <v>1.0</v>
      </c>
      <c r="AE26" s="4">
        <v>1.0</v>
      </c>
      <c r="AF26" s="4">
        <v>2.0</v>
      </c>
      <c r="AG26" s="4">
        <v>3.0</v>
      </c>
      <c r="AH26" s="4">
        <f t="shared" si="1"/>
        <v>32.46618106</v>
      </c>
      <c r="AI26" s="5" t="str">
        <f t="shared" si="2"/>
        <v>Obesity</v>
      </c>
      <c r="AJ26" s="5">
        <f t="shared" si="3"/>
        <v>4</v>
      </c>
      <c r="AK26" s="5" t="str">
        <f t="shared" si="4"/>
        <v>4-8 hours</v>
      </c>
    </row>
    <row r="27" ht="22.5" customHeight="1">
      <c r="A27" s="2">
        <v>46013.98991234954</v>
      </c>
      <c r="B27" s="3"/>
      <c r="C27" s="4" t="s">
        <v>37</v>
      </c>
      <c r="D27" s="4" t="s">
        <v>38</v>
      </c>
      <c r="E27" s="4" t="s">
        <v>39</v>
      </c>
      <c r="F27" s="4">
        <v>155.0</v>
      </c>
      <c r="G27" s="4">
        <v>56.0</v>
      </c>
      <c r="H27" s="4" t="s">
        <v>88</v>
      </c>
      <c r="I27" s="4" t="s">
        <v>58</v>
      </c>
      <c r="J27" s="4" t="s">
        <v>50</v>
      </c>
      <c r="K27" s="4" t="s">
        <v>62</v>
      </c>
      <c r="L27" s="4" t="s">
        <v>51</v>
      </c>
      <c r="M27" s="3"/>
      <c r="N27" s="4" t="s">
        <v>44</v>
      </c>
      <c r="O27" s="4" t="s">
        <v>89</v>
      </c>
      <c r="P27" s="4" t="s">
        <v>63</v>
      </c>
      <c r="Q27" s="4" t="s">
        <v>46</v>
      </c>
      <c r="R27" s="4" t="s">
        <v>44</v>
      </c>
      <c r="S27" s="3"/>
      <c r="T27" s="4" t="s">
        <v>42</v>
      </c>
      <c r="U27" s="4" t="s">
        <v>53</v>
      </c>
      <c r="V27" s="3"/>
      <c r="W27" s="4" t="s">
        <v>71</v>
      </c>
      <c r="X27" s="4" t="s">
        <v>55</v>
      </c>
      <c r="Y27" s="4" t="s">
        <v>56</v>
      </c>
      <c r="Z27" s="3"/>
      <c r="AA27" s="4">
        <v>5.0</v>
      </c>
      <c r="AB27" s="4">
        <v>1.0</v>
      </c>
      <c r="AC27" s="4">
        <v>3.0</v>
      </c>
      <c r="AD27" s="4">
        <v>5.0</v>
      </c>
      <c r="AE27" s="4">
        <v>5.0</v>
      </c>
      <c r="AF27" s="4">
        <v>5.0</v>
      </c>
      <c r="AG27" s="4">
        <v>5.0</v>
      </c>
      <c r="AH27" s="4">
        <f t="shared" si="1"/>
        <v>23.30905307</v>
      </c>
      <c r="AI27" s="5" t="str">
        <f t="shared" si="2"/>
        <v>Normal weight</v>
      </c>
      <c r="AJ27" s="5">
        <f t="shared" si="3"/>
        <v>4</v>
      </c>
      <c r="AK27" s="5" t="str">
        <f t="shared" si="4"/>
        <v>4-8 hours</v>
      </c>
    </row>
    <row r="28" ht="22.5" customHeight="1">
      <c r="A28" s="2">
        <v>46013.99424111111</v>
      </c>
      <c r="B28" s="3"/>
      <c r="C28" s="4" t="s">
        <v>37</v>
      </c>
      <c r="D28" s="4" t="s">
        <v>38</v>
      </c>
      <c r="E28" s="4" t="s">
        <v>39</v>
      </c>
      <c r="F28" s="4">
        <v>155.0</v>
      </c>
      <c r="G28" s="4">
        <v>48.0</v>
      </c>
      <c r="H28" s="3"/>
      <c r="I28" s="4" t="s">
        <v>40</v>
      </c>
      <c r="J28" s="4" t="s">
        <v>50</v>
      </c>
      <c r="K28" s="3"/>
      <c r="L28" s="4" t="s">
        <v>42</v>
      </c>
      <c r="M28" s="4">
        <v>-2.0</v>
      </c>
      <c r="N28" s="4" t="s">
        <v>44</v>
      </c>
      <c r="O28" s="3"/>
      <c r="P28" s="4" t="s">
        <v>63</v>
      </c>
      <c r="Q28" s="4" t="s">
        <v>44</v>
      </c>
      <c r="R28" s="4" t="s">
        <v>47</v>
      </c>
      <c r="S28" s="3"/>
      <c r="T28" s="4" t="s">
        <v>51</v>
      </c>
      <c r="U28" s="4" t="s">
        <v>47</v>
      </c>
      <c r="V28" s="3"/>
      <c r="W28" s="4" t="s">
        <v>72</v>
      </c>
      <c r="X28" s="4" t="s">
        <v>55</v>
      </c>
      <c r="Y28" s="4" t="s">
        <v>47</v>
      </c>
      <c r="Z28" s="3"/>
      <c r="AA28" s="4">
        <v>3.0</v>
      </c>
      <c r="AB28" s="4">
        <v>2.0</v>
      </c>
      <c r="AC28" s="4">
        <v>2.0</v>
      </c>
      <c r="AD28" s="4">
        <v>4.0</v>
      </c>
      <c r="AE28" s="4">
        <v>5.0</v>
      </c>
      <c r="AF28" s="4">
        <v>4.0</v>
      </c>
      <c r="AG28" s="4">
        <v>2.0</v>
      </c>
      <c r="AH28" s="4">
        <f t="shared" si="1"/>
        <v>19.97918835</v>
      </c>
      <c r="AI28" s="5" t="str">
        <f t="shared" si="2"/>
        <v>Normal weight</v>
      </c>
      <c r="AJ28" s="5">
        <f t="shared" si="3"/>
        <v>6</v>
      </c>
      <c r="AK28" s="5" t="str">
        <f t="shared" si="4"/>
        <v>4-8 hours</v>
      </c>
    </row>
    <row r="29" ht="22.5" customHeight="1">
      <c r="A29" s="2">
        <v>46013.99856493056</v>
      </c>
      <c r="B29" s="4" t="s">
        <v>90</v>
      </c>
      <c r="C29" s="4" t="s">
        <v>37</v>
      </c>
      <c r="D29" s="4" t="s">
        <v>38</v>
      </c>
      <c r="E29" s="4" t="s">
        <v>39</v>
      </c>
      <c r="F29" s="4">
        <v>170.0</v>
      </c>
      <c r="G29" s="4">
        <v>68.0</v>
      </c>
      <c r="H29" s="4" t="s">
        <v>91</v>
      </c>
      <c r="I29" s="4" t="s">
        <v>40</v>
      </c>
      <c r="J29" s="4" t="s">
        <v>50</v>
      </c>
      <c r="K29" s="4" t="s">
        <v>92</v>
      </c>
      <c r="L29" s="4" t="s">
        <v>51</v>
      </c>
      <c r="M29" s="3"/>
      <c r="N29" s="4" t="s">
        <v>44</v>
      </c>
      <c r="O29" s="3"/>
      <c r="P29" s="4" t="s">
        <v>52</v>
      </c>
      <c r="Q29" s="4" t="s">
        <v>44</v>
      </c>
      <c r="R29" s="4" t="s">
        <v>47</v>
      </c>
      <c r="S29" s="3"/>
      <c r="T29" s="4" t="s">
        <v>51</v>
      </c>
      <c r="U29" s="4" t="s">
        <v>53</v>
      </c>
      <c r="V29" s="3"/>
      <c r="W29" s="4" t="s">
        <v>54</v>
      </c>
      <c r="X29" s="4" t="s">
        <v>55</v>
      </c>
      <c r="Y29" s="4" t="s">
        <v>56</v>
      </c>
      <c r="Z29" s="3"/>
      <c r="AA29" s="4">
        <v>5.0</v>
      </c>
      <c r="AB29" s="4">
        <v>4.0</v>
      </c>
      <c r="AC29" s="4">
        <v>5.0</v>
      </c>
      <c r="AD29" s="4">
        <v>4.0</v>
      </c>
      <c r="AE29" s="4">
        <v>5.0</v>
      </c>
      <c r="AF29" s="4">
        <v>5.0</v>
      </c>
      <c r="AG29" s="4">
        <v>2.0</v>
      </c>
      <c r="AH29" s="4">
        <f t="shared" si="1"/>
        <v>23.52941176</v>
      </c>
      <c r="AI29" s="5" t="str">
        <f t="shared" si="2"/>
        <v>Normal weight</v>
      </c>
      <c r="AJ29" s="5">
        <f t="shared" si="3"/>
        <v>6</v>
      </c>
      <c r="AK29" s="5" t="str">
        <f t="shared" si="4"/>
        <v>4-8 hours</v>
      </c>
    </row>
    <row r="30" ht="22.5" customHeight="1">
      <c r="A30" s="2">
        <v>46014.01240232639</v>
      </c>
      <c r="B30" s="3"/>
      <c r="C30" s="4" t="s">
        <v>37</v>
      </c>
      <c r="D30" s="4" t="s">
        <v>38</v>
      </c>
      <c r="E30" s="4" t="s">
        <v>39</v>
      </c>
      <c r="F30" s="4">
        <v>162.0</v>
      </c>
      <c r="G30" s="4">
        <v>45.0</v>
      </c>
      <c r="H30" s="3"/>
      <c r="I30" s="4" t="s">
        <v>58</v>
      </c>
      <c r="J30" s="4" t="s">
        <v>50</v>
      </c>
      <c r="K30" s="3"/>
      <c r="L30" s="4" t="s">
        <v>42</v>
      </c>
      <c r="M30" s="4">
        <v>-0.75</v>
      </c>
      <c r="N30" s="4" t="s">
        <v>46</v>
      </c>
      <c r="O30" s="3"/>
      <c r="P30" s="4" t="s">
        <v>52</v>
      </c>
      <c r="Q30" s="4" t="s">
        <v>44</v>
      </c>
      <c r="R30" s="4" t="s">
        <v>46</v>
      </c>
      <c r="S30" s="3"/>
      <c r="T30" s="4" t="s">
        <v>42</v>
      </c>
      <c r="U30" s="4" t="s">
        <v>47</v>
      </c>
      <c r="V30" s="3"/>
      <c r="W30" s="4" t="s">
        <v>54</v>
      </c>
      <c r="X30" s="4" t="s">
        <v>46</v>
      </c>
      <c r="Y30" s="4" t="s">
        <v>56</v>
      </c>
      <c r="Z30" s="3"/>
      <c r="AA30" s="4">
        <v>3.0</v>
      </c>
      <c r="AB30" s="4">
        <v>3.0</v>
      </c>
      <c r="AC30" s="4">
        <v>2.0</v>
      </c>
      <c r="AD30" s="4">
        <v>3.0</v>
      </c>
      <c r="AE30" s="4">
        <v>4.0</v>
      </c>
      <c r="AF30" s="4">
        <v>5.0</v>
      </c>
      <c r="AG30" s="4">
        <v>4.0</v>
      </c>
      <c r="AH30" s="4">
        <f t="shared" si="1"/>
        <v>17.14677641</v>
      </c>
      <c r="AI30" s="5" t="str">
        <f t="shared" si="2"/>
        <v>Underweight</v>
      </c>
      <c r="AJ30" s="5">
        <f t="shared" si="3"/>
        <v>4</v>
      </c>
      <c r="AK30" s="5" t="str">
        <f t="shared" si="4"/>
        <v>4-8 hours</v>
      </c>
    </row>
    <row r="31" ht="22.5" customHeight="1">
      <c r="A31" s="2">
        <v>46014.053883437504</v>
      </c>
      <c r="B31" s="3"/>
      <c r="C31" s="4" t="s">
        <v>37</v>
      </c>
      <c r="D31" s="4" t="s">
        <v>49</v>
      </c>
      <c r="E31" s="4" t="s">
        <v>39</v>
      </c>
      <c r="F31" s="4">
        <v>170.0</v>
      </c>
      <c r="G31" s="4">
        <v>55.0</v>
      </c>
      <c r="H31" s="3"/>
      <c r="I31" s="4" t="s">
        <v>40</v>
      </c>
      <c r="J31" s="4" t="s">
        <v>50</v>
      </c>
      <c r="K31" s="3"/>
      <c r="L31" s="4" t="s">
        <v>42</v>
      </c>
      <c r="M31" s="3"/>
      <c r="N31" s="4" t="s">
        <v>46</v>
      </c>
      <c r="O31" s="3"/>
      <c r="P31" s="4" t="s">
        <v>45</v>
      </c>
      <c r="Q31" s="4" t="s">
        <v>47</v>
      </c>
      <c r="R31" s="4" t="s">
        <v>46</v>
      </c>
      <c r="S31" s="3"/>
      <c r="T31" s="4" t="s">
        <v>42</v>
      </c>
      <c r="U31" s="4" t="s">
        <v>44</v>
      </c>
      <c r="V31" s="3"/>
      <c r="W31" s="4" t="s">
        <v>71</v>
      </c>
      <c r="X31" s="4" t="s">
        <v>55</v>
      </c>
      <c r="Y31" s="4" t="s">
        <v>56</v>
      </c>
      <c r="Z31" s="3"/>
      <c r="AA31" s="4">
        <v>4.0</v>
      </c>
      <c r="AB31" s="4">
        <v>4.0</v>
      </c>
      <c r="AC31" s="4">
        <v>3.0</v>
      </c>
      <c r="AD31" s="4">
        <v>4.0</v>
      </c>
      <c r="AE31" s="4">
        <v>5.0</v>
      </c>
      <c r="AF31" s="4">
        <v>5.0</v>
      </c>
      <c r="AG31" s="4">
        <v>4.0</v>
      </c>
      <c r="AH31" s="4">
        <f t="shared" si="1"/>
        <v>19.03114187</v>
      </c>
      <c r="AI31" s="5" t="str">
        <f t="shared" si="2"/>
        <v>Normal weight</v>
      </c>
      <c r="AJ31" s="5">
        <f t="shared" si="3"/>
        <v>6</v>
      </c>
      <c r="AK31" s="5" t="str">
        <f t="shared" si="4"/>
        <v>4-8 hours</v>
      </c>
    </row>
    <row r="32" ht="22.5" customHeight="1">
      <c r="A32" s="2">
        <v>46014.25883664352</v>
      </c>
      <c r="B32" s="3"/>
      <c r="C32" s="4" t="s">
        <v>37</v>
      </c>
      <c r="D32" s="4" t="s">
        <v>38</v>
      </c>
      <c r="E32" s="4" t="s">
        <v>39</v>
      </c>
      <c r="F32" s="4">
        <v>158.0</v>
      </c>
      <c r="G32" s="4">
        <v>45.0</v>
      </c>
      <c r="H32" s="3"/>
      <c r="I32" s="4" t="s">
        <v>40</v>
      </c>
      <c r="J32" s="4" t="s">
        <v>58</v>
      </c>
      <c r="K32" s="3"/>
      <c r="L32" s="4" t="s">
        <v>42</v>
      </c>
      <c r="M32" s="3"/>
      <c r="N32" s="4" t="s">
        <v>44</v>
      </c>
      <c r="O32" s="3"/>
      <c r="P32" s="4" t="s">
        <v>45</v>
      </c>
      <c r="Q32" s="4" t="s">
        <v>47</v>
      </c>
      <c r="R32" s="4" t="s">
        <v>56</v>
      </c>
      <c r="S32" s="3"/>
      <c r="T32" s="4" t="s">
        <v>51</v>
      </c>
      <c r="U32" s="4" t="s">
        <v>53</v>
      </c>
      <c r="V32" s="3"/>
      <c r="W32" s="4" t="s">
        <v>54</v>
      </c>
      <c r="X32" s="4" t="s">
        <v>55</v>
      </c>
      <c r="Y32" s="4" t="s">
        <v>60</v>
      </c>
      <c r="Z32" s="3"/>
      <c r="AA32" s="4">
        <v>2.0</v>
      </c>
      <c r="AB32" s="4">
        <v>1.0</v>
      </c>
      <c r="AC32" s="4">
        <v>1.0</v>
      </c>
      <c r="AD32" s="4">
        <v>1.0</v>
      </c>
      <c r="AE32" s="4">
        <v>1.0</v>
      </c>
      <c r="AF32" s="4">
        <v>3.0</v>
      </c>
      <c r="AG32" s="4">
        <v>4.0</v>
      </c>
      <c r="AH32" s="4">
        <f t="shared" si="1"/>
        <v>18.02595738</v>
      </c>
      <c r="AI32" s="5" t="str">
        <f t="shared" si="2"/>
        <v>Underweight</v>
      </c>
      <c r="AJ32" s="5">
        <f t="shared" si="3"/>
        <v>8</v>
      </c>
      <c r="AK32" s="5" t="str">
        <f t="shared" si="4"/>
        <v>4-8 hours</v>
      </c>
    </row>
    <row r="33" ht="22.5" customHeight="1">
      <c r="A33" s="2">
        <v>46014.263845277776</v>
      </c>
      <c r="B33" s="3"/>
      <c r="C33" s="4" t="s">
        <v>37</v>
      </c>
      <c r="D33" s="4" t="s">
        <v>49</v>
      </c>
      <c r="E33" s="4" t="s">
        <v>39</v>
      </c>
      <c r="F33" s="4">
        <v>175.0</v>
      </c>
      <c r="G33" s="4">
        <v>73.0</v>
      </c>
      <c r="H33" s="4" t="s">
        <v>93</v>
      </c>
      <c r="I33" s="4" t="s">
        <v>50</v>
      </c>
      <c r="J33" s="4" t="s">
        <v>50</v>
      </c>
      <c r="K33" s="3"/>
      <c r="L33" s="4" t="s">
        <v>42</v>
      </c>
      <c r="M33" s="4" t="s">
        <v>94</v>
      </c>
      <c r="N33" s="4" t="s">
        <v>46</v>
      </c>
      <c r="O33" s="3"/>
      <c r="P33" s="4" t="s">
        <v>52</v>
      </c>
      <c r="Q33" s="4" t="s">
        <v>44</v>
      </c>
      <c r="R33" s="4" t="s">
        <v>44</v>
      </c>
      <c r="S33" s="3"/>
      <c r="T33" s="4" t="s">
        <v>51</v>
      </c>
      <c r="U33" s="4" t="s">
        <v>44</v>
      </c>
      <c r="V33" s="3"/>
      <c r="W33" s="4" t="s">
        <v>54</v>
      </c>
      <c r="X33" s="4" t="s">
        <v>55</v>
      </c>
      <c r="Y33" s="4" t="s">
        <v>56</v>
      </c>
      <c r="Z33" s="3"/>
      <c r="AA33" s="4">
        <v>2.0</v>
      </c>
      <c r="AB33" s="4">
        <v>3.0</v>
      </c>
      <c r="AC33" s="4">
        <v>1.0</v>
      </c>
      <c r="AD33" s="4">
        <v>2.0</v>
      </c>
      <c r="AE33" s="4">
        <v>2.0</v>
      </c>
      <c r="AF33" s="4">
        <v>3.0</v>
      </c>
      <c r="AG33" s="4">
        <v>2.0</v>
      </c>
      <c r="AH33" s="4">
        <f t="shared" si="1"/>
        <v>23.83673469</v>
      </c>
      <c r="AI33" s="5" t="str">
        <f t="shared" si="2"/>
        <v>Normal weight</v>
      </c>
      <c r="AJ33" s="5">
        <f t="shared" si="3"/>
        <v>2</v>
      </c>
      <c r="AK33" s="5" t="str">
        <f t="shared" si="4"/>
        <v>&lt; 4 hours</v>
      </c>
    </row>
    <row r="34" ht="22.5" customHeight="1">
      <c r="A34" s="2">
        <v>46014.29172460648</v>
      </c>
      <c r="B34" s="3"/>
      <c r="C34" s="4" t="s">
        <v>37</v>
      </c>
      <c r="D34" s="4" t="s">
        <v>38</v>
      </c>
      <c r="E34" s="4" t="s">
        <v>39</v>
      </c>
      <c r="F34" s="4">
        <v>155.0</v>
      </c>
      <c r="G34" s="4">
        <v>46.0</v>
      </c>
      <c r="H34" s="3"/>
      <c r="I34" s="4" t="s">
        <v>58</v>
      </c>
      <c r="J34" s="4" t="s">
        <v>50</v>
      </c>
      <c r="K34" s="3"/>
      <c r="L34" s="4" t="s">
        <v>42</v>
      </c>
      <c r="M34" s="3"/>
      <c r="N34" s="4" t="s">
        <v>47</v>
      </c>
      <c r="O34" s="3"/>
      <c r="P34" s="4" t="s">
        <v>52</v>
      </c>
      <c r="Q34" s="4" t="s">
        <v>47</v>
      </c>
      <c r="R34" s="4" t="s">
        <v>46</v>
      </c>
      <c r="S34" s="3"/>
      <c r="T34" s="4" t="s">
        <v>51</v>
      </c>
      <c r="U34" s="4" t="s">
        <v>76</v>
      </c>
      <c r="V34" s="3"/>
      <c r="W34" s="4" t="s">
        <v>48</v>
      </c>
      <c r="X34" s="4" t="s">
        <v>47</v>
      </c>
      <c r="Y34" s="4" t="s">
        <v>46</v>
      </c>
      <c r="Z34" s="3"/>
      <c r="AA34" s="4">
        <v>2.0</v>
      </c>
      <c r="AB34" s="4">
        <v>2.0</v>
      </c>
      <c r="AC34" s="4">
        <v>2.0</v>
      </c>
      <c r="AD34" s="4">
        <v>1.0</v>
      </c>
      <c r="AE34" s="4">
        <v>2.0</v>
      </c>
      <c r="AF34" s="4">
        <v>2.0</v>
      </c>
      <c r="AG34" s="4">
        <v>3.0</v>
      </c>
      <c r="AH34" s="4">
        <f t="shared" si="1"/>
        <v>19.14672216</v>
      </c>
      <c r="AI34" s="5" t="str">
        <f t="shared" si="2"/>
        <v>Normal weight</v>
      </c>
      <c r="AJ34" s="5">
        <f t="shared" si="3"/>
        <v>4</v>
      </c>
      <c r="AK34" s="5" t="str">
        <f t="shared" si="4"/>
        <v>4-8 hours</v>
      </c>
    </row>
    <row r="35" ht="22.5" customHeight="1">
      <c r="A35" s="2">
        <v>46014.34613578704</v>
      </c>
      <c r="B35" s="3"/>
      <c r="C35" s="4" t="s">
        <v>37</v>
      </c>
      <c r="D35" s="4" t="s">
        <v>38</v>
      </c>
      <c r="E35" s="4" t="s">
        <v>39</v>
      </c>
      <c r="F35" s="4">
        <v>162.0</v>
      </c>
      <c r="G35" s="4">
        <v>55.0</v>
      </c>
      <c r="H35" s="3"/>
      <c r="I35" s="4" t="s">
        <v>40</v>
      </c>
      <c r="J35" s="4" t="s">
        <v>50</v>
      </c>
      <c r="K35" s="3"/>
      <c r="L35" s="4" t="s">
        <v>51</v>
      </c>
      <c r="M35" s="3"/>
      <c r="N35" s="4" t="s">
        <v>60</v>
      </c>
      <c r="O35" s="3"/>
      <c r="P35" s="4" t="s">
        <v>52</v>
      </c>
      <c r="Q35" s="4" t="s">
        <v>46</v>
      </c>
      <c r="R35" s="4" t="s">
        <v>47</v>
      </c>
      <c r="S35" s="3"/>
      <c r="T35" s="4" t="s">
        <v>42</v>
      </c>
      <c r="U35" s="4" t="s">
        <v>53</v>
      </c>
      <c r="V35" s="3"/>
      <c r="W35" s="4" t="s">
        <v>48</v>
      </c>
      <c r="X35" s="4" t="s">
        <v>60</v>
      </c>
      <c r="Y35" s="4" t="s">
        <v>46</v>
      </c>
      <c r="Z35" s="3"/>
      <c r="AA35" s="4">
        <v>3.0</v>
      </c>
      <c r="AB35" s="4">
        <v>1.0</v>
      </c>
      <c r="AC35" s="4">
        <v>4.0</v>
      </c>
      <c r="AD35" s="4">
        <v>1.0</v>
      </c>
      <c r="AE35" s="4">
        <v>4.0</v>
      </c>
      <c r="AF35" s="4">
        <v>4.0</v>
      </c>
      <c r="AG35" s="4">
        <v>2.0</v>
      </c>
      <c r="AH35" s="4">
        <f t="shared" si="1"/>
        <v>20.95717116</v>
      </c>
      <c r="AI35" s="5" t="str">
        <f t="shared" si="2"/>
        <v>Normal weight</v>
      </c>
      <c r="AJ35" s="5">
        <f t="shared" si="3"/>
        <v>6</v>
      </c>
      <c r="AK35" s="5" t="str">
        <f t="shared" si="4"/>
        <v>4-8 hours</v>
      </c>
    </row>
    <row r="36" ht="22.5" customHeight="1">
      <c r="A36" s="2">
        <v>46014.35601131944</v>
      </c>
      <c r="B36" s="3"/>
      <c r="C36" s="4" t="s">
        <v>37</v>
      </c>
      <c r="D36" s="4" t="s">
        <v>38</v>
      </c>
      <c r="E36" s="4" t="s">
        <v>39</v>
      </c>
      <c r="F36" s="4">
        <v>155.0</v>
      </c>
      <c r="G36" s="4">
        <v>44.0</v>
      </c>
      <c r="H36" s="3"/>
      <c r="I36" s="4" t="s">
        <v>50</v>
      </c>
      <c r="J36" s="4" t="s">
        <v>40</v>
      </c>
      <c r="K36" s="3"/>
      <c r="L36" s="4" t="s">
        <v>51</v>
      </c>
      <c r="M36" s="3"/>
      <c r="N36" s="4" t="s">
        <v>47</v>
      </c>
      <c r="O36" s="3"/>
      <c r="P36" s="4" t="s">
        <v>45</v>
      </c>
      <c r="Q36" s="4" t="s">
        <v>46</v>
      </c>
      <c r="R36" s="4" t="s">
        <v>56</v>
      </c>
      <c r="S36" s="3"/>
      <c r="T36" s="4" t="s">
        <v>42</v>
      </c>
      <c r="U36" s="4" t="s">
        <v>53</v>
      </c>
      <c r="V36" s="3"/>
      <c r="W36" s="4" t="s">
        <v>48</v>
      </c>
      <c r="X36" s="4" t="s">
        <v>55</v>
      </c>
      <c r="Y36" s="4" t="s">
        <v>56</v>
      </c>
      <c r="Z36" s="3"/>
      <c r="AA36" s="4">
        <v>4.0</v>
      </c>
      <c r="AB36" s="4">
        <v>1.0</v>
      </c>
      <c r="AC36" s="4">
        <v>2.0</v>
      </c>
      <c r="AD36" s="4">
        <v>1.0</v>
      </c>
      <c r="AE36" s="4">
        <v>4.0</v>
      </c>
      <c r="AF36" s="4">
        <v>4.0</v>
      </c>
      <c r="AG36" s="4">
        <v>4.0</v>
      </c>
      <c r="AH36" s="4">
        <f t="shared" si="1"/>
        <v>18.31425598</v>
      </c>
      <c r="AI36" s="5" t="str">
        <f t="shared" si="2"/>
        <v>Underweight</v>
      </c>
      <c r="AJ36" s="5">
        <f t="shared" si="3"/>
        <v>6</v>
      </c>
      <c r="AK36" s="5" t="str">
        <f t="shared" si="4"/>
        <v>4-8 hours</v>
      </c>
    </row>
    <row r="37" ht="22.5" customHeight="1">
      <c r="A37" s="2">
        <v>46014.36793123843</v>
      </c>
      <c r="B37" s="3"/>
      <c r="C37" s="4" t="s">
        <v>37</v>
      </c>
      <c r="D37" s="4" t="s">
        <v>49</v>
      </c>
      <c r="E37" s="4" t="s">
        <v>39</v>
      </c>
      <c r="F37" s="4">
        <v>182.0</v>
      </c>
      <c r="G37" s="4">
        <v>55.0</v>
      </c>
      <c r="H37" s="4" t="s">
        <v>95</v>
      </c>
      <c r="I37" s="4" t="s">
        <v>50</v>
      </c>
      <c r="J37" s="4" t="s">
        <v>50</v>
      </c>
      <c r="K37" s="4" t="s">
        <v>96</v>
      </c>
      <c r="L37" s="4" t="s">
        <v>42</v>
      </c>
      <c r="M37" s="4">
        <v>1.5</v>
      </c>
      <c r="N37" s="4" t="s">
        <v>44</v>
      </c>
      <c r="O37" s="4" t="s">
        <v>97</v>
      </c>
      <c r="P37" s="4" t="s">
        <v>52</v>
      </c>
      <c r="Q37" s="4" t="s">
        <v>46</v>
      </c>
      <c r="R37" s="4" t="s">
        <v>44</v>
      </c>
      <c r="S37" s="3"/>
      <c r="T37" s="4" t="s">
        <v>51</v>
      </c>
      <c r="U37" s="4" t="s">
        <v>47</v>
      </c>
      <c r="V37" s="4" t="s">
        <v>98</v>
      </c>
      <c r="W37" s="4" t="s">
        <v>54</v>
      </c>
      <c r="X37" s="4" t="s">
        <v>46</v>
      </c>
      <c r="Y37" s="4" t="s">
        <v>46</v>
      </c>
      <c r="Z37" s="4" t="s">
        <v>99</v>
      </c>
      <c r="AA37" s="4">
        <v>2.0</v>
      </c>
      <c r="AB37" s="4">
        <v>1.0</v>
      </c>
      <c r="AC37" s="4">
        <v>4.0</v>
      </c>
      <c r="AD37" s="4">
        <v>3.0</v>
      </c>
      <c r="AE37" s="4">
        <v>2.0</v>
      </c>
      <c r="AF37" s="4">
        <v>4.0</v>
      </c>
      <c r="AG37" s="4">
        <v>5.0</v>
      </c>
      <c r="AH37" s="4">
        <f t="shared" si="1"/>
        <v>16.60427485</v>
      </c>
      <c r="AI37" s="5" t="str">
        <f t="shared" si="2"/>
        <v>Underweight</v>
      </c>
      <c r="AJ37" s="5">
        <f t="shared" si="3"/>
        <v>2</v>
      </c>
      <c r="AK37" s="5" t="str">
        <f t="shared" si="4"/>
        <v>&lt; 4 hours</v>
      </c>
    </row>
    <row r="38" ht="22.5" customHeight="1">
      <c r="A38" s="2">
        <v>46014.396970428235</v>
      </c>
      <c r="B38" s="3"/>
      <c r="C38" s="4" t="s">
        <v>37</v>
      </c>
      <c r="D38" s="4" t="s">
        <v>49</v>
      </c>
      <c r="E38" s="4" t="s">
        <v>39</v>
      </c>
      <c r="F38" s="4">
        <v>175.0</v>
      </c>
      <c r="G38" s="4">
        <v>88.0</v>
      </c>
      <c r="H38" s="3"/>
      <c r="I38" s="4" t="s">
        <v>50</v>
      </c>
      <c r="J38" s="4" t="s">
        <v>41</v>
      </c>
      <c r="K38" s="3"/>
      <c r="L38" s="4" t="s">
        <v>42</v>
      </c>
      <c r="M38" s="4" t="s">
        <v>100</v>
      </c>
      <c r="N38" s="4" t="s">
        <v>47</v>
      </c>
      <c r="O38" s="3"/>
      <c r="P38" s="4" t="s">
        <v>59</v>
      </c>
      <c r="Q38" s="4" t="s">
        <v>44</v>
      </c>
      <c r="R38" s="4" t="s">
        <v>60</v>
      </c>
      <c r="S38" s="3"/>
      <c r="T38" s="4" t="s">
        <v>42</v>
      </c>
      <c r="U38" s="4" t="s">
        <v>76</v>
      </c>
      <c r="V38" s="3"/>
      <c r="W38" s="4" t="s">
        <v>54</v>
      </c>
      <c r="X38" s="4" t="s">
        <v>46</v>
      </c>
      <c r="Y38" s="4" t="s">
        <v>56</v>
      </c>
      <c r="Z38" s="3"/>
      <c r="AA38" s="4">
        <v>3.0</v>
      </c>
      <c r="AB38" s="4">
        <v>4.0</v>
      </c>
      <c r="AC38" s="4">
        <v>3.0</v>
      </c>
      <c r="AD38" s="4">
        <v>5.0</v>
      </c>
      <c r="AE38" s="4">
        <v>1.0</v>
      </c>
      <c r="AF38" s="4">
        <v>2.0</v>
      </c>
      <c r="AG38" s="4">
        <v>1.0</v>
      </c>
      <c r="AH38" s="4">
        <f t="shared" si="1"/>
        <v>28.73469388</v>
      </c>
      <c r="AI38" s="5" t="str">
        <f t="shared" si="2"/>
        <v>Overweight</v>
      </c>
      <c r="AJ38" s="5">
        <f t="shared" si="3"/>
        <v>8</v>
      </c>
      <c r="AK38" s="5" t="str">
        <f t="shared" si="4"/>
        <v>4-8 hours</v>
      </c>
    </row>
    <row r="39" ht="22.5" customHeight="1">
      <c r="A39" s="2">
        <v>46014.46839123842</v>
      </c>
      <c r="B39" s="3"/>
      <c r="C39" s="4" t="s">
        <v>101</v>
      </c>
      <c r="D39" s="4" t="s">
        <v>49</v>
      </c>
      <c r="E39" s="4" t="s">
        <v>87</v>
      </c>
      <c r="F39" s="4">
        <v>5.9</v>
      </c>
      <c r="G39" s="4">
        <v>65.0</v>
      </c>
      <c r="H39" s="4">
        <v>8.0</v>
      </c>
      <c r="I39" s="4" t="s">
        <v>41</v>
      </c>
      <c r="J39" s="4" t="s">
        <v>41</v>
      </c>
      <c r="K39" s="4" t="s">
        <v>102</v>
      </c>
      <c r="L39" s="4" t="s">
        <v>42</v>
      </c>
      <c r="M39" s="4">
        <v>1.5</v>
      </c>
      <c r="N39" s="4" t="s">
        <v>47</v>
      </c>
      <c r="O39" s="3"/>
      <c r="P39" s="4" t="s">
        <v>52</v>
      </c>
      <c r="Q39" s="4" t="s">
        <v>44</v>
      </c>
      <c r="R39" s="4" t="s">
        <v>47</v>
      </c>
      <c r="S39" s="3"/>
      <c r="T39" s="4" t="s">
        <v>42</v>
      </c>
      <c r="U39" s="4" t="s">
        <v>47</v>
      </c>
      <c r="V39" s="3"/>
      <c r="W39" s="4" t="s">
        <v>71</v>
      </c>
      <c r="X39" s="4" t="s">
        <v>55</v>
      </c>
      <c r="Y39" s="4" t="s">
        <v>56</v>
      </c>
      <c r="Z39" s="3"/>
      <c r="AA39" s="4">
        <v>3.0</v>
      </c>
      <c r="AB39" s="4">
        <v>3.0</v>
      </c>
      <c r="AC39" s="4">
        <v>1.0</v>
      </c>
      <c r="AD39" s="4">
        <v>1.0</v>
      </c>
      <c r="AE39" s="4">
        <v>1.0</v>
      </c>
      <c r="AF39" s="4">
        <v>1.0</v>
      </c>
      <c r="AG39" s="4">
        <v>3.0</v>
      </c>
      <c r="AH39" s="4">
        <f t="shared" si="1"/>
        <v>18672.79517</v>
      </c>
      <c r="AI39" s="5" t="str">
        <f t="shared" si="2"/>
        <v>Obesity</v>
      </c>
      <c r="AJ39" s="5">
        <f t="shared" si="3"/>
        <v>14</v>
      </c>
      <c r="AK39" s="5" t="str">
        <f t="shared" si="4"/>
        <v>&gt; 12 hours</v>
      </c>
    </row>
    <row r="40" ht="22.5" customHeight="1">
      <c r="A40" s="2">
        <v>46014.51239321759</v>
      </c>
      <c r="B40" s="3"/>
      <c r="C40" s="4" t="s">
        <v>101</v>
      </c>
      <c r="D40" s="4" t="s">
        <v>38</v>
      </c>
      <c r="E40" s="4" t="s">
        <v>87</v>
      </c>
      <c r="F40" s="4">
        <v>157.5</v>
      </c>
      <c r="G40" s="4">
        <v>52.0</v>
      </c>
      <c r="H40" s="3"/>
      <c r="I40" s="4" t="s">
        <v>50</v>
      </c>
      <c r="J40" s="4" t="s">
        <v>50</v>
      </c>
      <c r="K40" s="3"/>
      <c r="L40" s="4" t="s">
        <v>42</v>
      </c>
      <c r="M40" s="4" t="s">
        <v>103</v>
      </c>
      <c r="N40" s="4" t="s">
        <v>47</v>
      </c>
      <c r="O40" s="3"/>
      <c r="P40" s="4" t="s">
        <v>52</v>
      </c>
      <c r="Q40" s="4" t="s">
        <v>46</v>
      </c>
      <c r="R40" s="4" t="s">
        <v>56</v>
      </c>
      <c r="S40" s="3"/>
      <c r="T40" s="4" t="s">
        <v>42</v>
      </c>
      <c r="U40" s="4" t="s">
        <v>53</v>
      </c>
      <c r="V40" s="3"/>
      <c r="W40" s="4" t="s">
        <v>71</v>
      </c>
      <c r="X40" s="4" t="s">
        <v>55</v>
      </c>
      <c r="Y40" s="4" t="s">
        <v>56</v>
      </c>
      <c r="Z40" s="3"/>
      <c r="AA40" s="4">
        <v>3.0</v>
      </c>
      <c r="AB40" s="4">
        <v>2.0</v>
      </c>
      <c r="AC40" s="4">
        <v>3.0</v>
      </c>
      <c r="AD40" s="4">
        <v>2.0</v>
      </c>
      <c r="AE40" s="4">
        <v>3.0</v>
      </c>
      <c r="AF40" s="4">
        <v>4.0</v>
      </c>
      <c r="AG40" s="4">
        <v>4.0</v>
      </c>
      <c r="AH40" s="4">
        <f t="shared" si="1"/>
        <v>20.96245906</v>
      </c>
      <c r="AI40" s="5" t="str">
        <f t="shared" si="2"/>
        <v>Normal weight</v>
      </c>
      <c r="AJ40" s="5">
        <f t="shared" si="3"/>
        <v>2</v>
      </c>
      <c r="AK40" s="5" t="str">
        <f t="shared" si="4"/>
        <v>&lt; 4 hours</v>
      </c>
    </row>
    <row r="41" ht="22.5" customHeight="1">
      <c r="A41" s="2">
        <v>46014.568044768515</v>
      </c>
      <c r="B41" s="3"/>
      <c r="C41" s="4" t="s">
        <v>37</v>
      </c>
      <c r="D41" s="4" t="s">
        <v>49</v>
      </c>
      <c r="E41" s="4" t="s">
        <v>39</v>
      </c>
      <c r="F41" s="4">
        <v>182.0</v>
      </c>
      <c r="G41" s="4">
        <v>70.0</v>
      </c>
      <c r="H41" s="3"/>
      <c r="I41" s="4" t="s">
        <v>40</v>
      </c>
      <c r="J41" s="4" t="s">
        <v>50</v>
      </c>
      <c r="K41" s="3"/>
      <c r="L41" s="4" t="s">
        <v>42</v>
      </c>
      <c r="M41" s="4" t="s">
        <v>104</v>
      </c>
      <c r="N41" s="4" t="s">
        <v>47</v>
      </c>
      <c r="O41" s="3"/>
      <c r="P41" s="4" t="s">
        <v>59</v>
      </c>
      <c r="Q41" s="4" t="s">
        <v>46</v>
      </c>
      <c r="R41" s="4" t="s">
        <v>46</v>
      </c>
      <c r="S41" s="3"/>
      <c r="T41" s="4" t="s">
        <v>42</v>
      </c>
      <c r="U41" s="4" t="s">
        <v>53</v>
      </c>
      <c r="V41" s="3"/>
      <c r="W41" s="4" t="s">
        <v>54</v>
      </c>
      <c r="X41" s="4" t="s">
        <v>55</v>
      </c>
      <c r="Y41" s="4" t="s">
        <v>56</v>
      </c>
      <c r="Z41" s="3"/>
      <c r="AA41" s="4">
        <v>4.0</v>
      </c>
      <c r="AB41" s="4">
        <v>3.0</v>
      </c>
      <c r="AC41" s="4">
        <v>4.0</v>
      </c>
      <c r="AD41" s="4">
        <v>5.0</v>
      </c>
      <c r="AE41" s="4">
        <v>4.0</v>
      </c>
      <c r="AF41" s="4">
        <v>2.0</v>
      </c>
      <c r="AG41" s="4">
        <v>1.0</v>
      </c>
      <c r="AH41" s="4">
        <f t="shared" si="1"/>
        <v>21.13271344</v>
      </c>
      <c r="AI41" s="5" t="str">
        <f t="shared" si="2"/>
        <v>Normal weight</v>
      </c>
      <c r="AJ41" s="5">
        <f t="shared" si="3"/>
        <v>6</v>
      </c>
      <c r="AK41" s="5" t="str">
        <f t="shared" si="4"/>
        <v>4-8 hours</v>
      </c>
    </row>
    <row r="42" ht="22.5" customHeight="1">
      <c r="A42" s="2">
        <v>46014.5899152662</v>
      </c>
      <c r="B42" s="3"/>
      <c r="C42" s="4" t="s">
        <v>37</v>
      </c>
      <c r="D42" s="4" t="s">
        <v>38</v>
      </c>
      <c r="E42" s="4" t="s">
        <v>39</v>
      </c>
      <c r="F42" s="4">
        <v>164.6</v>
      </c>
      <c r="G42" s="4">
        <v>62.5</v>
      </c>
      <c r="H42" s="4" t="s">
        <v>105</v>
      </c>
      <c r="I42" s="4" t="s">
        <v>58</v>
      </c>
      <c r="J42" s="4" t="s">
        <v>50</v>
      </c>
      <c r="K42" s="4" t="s">
        <v>106</v>
      </c>
      <c r="L42" s="4" t="s">
        <v>42</v>
      </c>
      <c r="M42" s="4">
        <v>-1.75</v>
      </c>
      <c r="N42" s="4" t="s">
        <v>46</v>
      </c>
      <c r="O42" s="3"/>
      <c r="P42" s="4" t="s">
        <v>45</v>
      </c>
      <c r="Q42" s="4" t="s">
        <v>44</v>
      </c>
      <c r="R42" s="4" t="s">
        <v>46</v>
      </c>
      <c r="S42" s="3"/>
      <c r="T42" s="4" t="s">
        <v>51</v>
      </c>
      <c r="U42" s="4" t="s">
        <v>53</v>
      </c>
      <c r="V42" s="3"/>
      <c r="W42" s="4" t="s">
        <v>48</v>
      </c>
      <c r="X42" s="4" t="s">
        <v>46</v>
      </c>
      <c r="Y42" s="4" t="s">
        <v>44</v>
      </c>
      <c r="Z42" s="3"/>
      <c r="AA42" s="4">
        <v>5.0</v>
      </c>
      <c r="AB42" s="4">
        <v>4.0</v>
      </c>
      <c r="AC42" s="4">
        <v>4.0</v>
      </c>
      <c r="AD42" s="4">
        <v>5.0</v>
      </c>
      <c r="AE42" s="4">
        <v>5.0</v>
      </c>
      <c r="AF42" s="4">
        <v>5.0</v>
      </c>
      <c r="AG42" s="4">
        <v>5.0</v>
      </c>
      <c r="AH42" s="4">
        <f t="shared" si="1"/>
        <v>23.0685531</v>
      </c>
      <c r="AI42" s="5" t="str">
        <f t="shared" si="2"/>
        <v>Normal weight</v>
      </c>
      <c r="AJ42" s="5">
        <f t="shared" si="3"/>
        <v>4</v>
      </c>
      <c r="AK42" s="5" t="str">
        <f t="shared" si="4"/>
        <v>4-8 hours</v>
      </c>
    </row>
    <row r="43" ht="22.5" customHeight="1">
      <c r="A43" s="2">
        <v>46014.834754814816</v>
      </c>
      <c r="B43" s="3"/>
      <c r="C43" s="4" t="s">
        <v>37</v>
      </c>
      <c r="D43" s="4" t="s">
        <v>38</v>
      </c>
      <c r="E43" s="4" t="s">
        <v>39</v>
      </c>
      <c r="F43" s="4">
        <v>5.3</v>
      </c>
      <c r="G43" s="4">
        <v>54.0</v>
      </c>
      <c r="H43" s="3"/>
      <c r="I43" s="4" t="s">
        <v>40</v>
      </c>
      <c r="J43" s="4" t="s">
        <v>58</v>
      </c>
      <c r="K43" s="3"/>
      <c r="L43" s="4" t="s">
        <v>42</v>
      </c>
      <c r="M43" s="4" t="s">
        <v>107</v>
      </c>
      <c r="N43" s="4" t="s">
        <v>44</v>
      </c>
      <c r="O43" s="3"/>
      <c r="P43" s="4" t="s">
        <v>63</v>
      </c>
      <c r="Q43" s="4" t="s">
        <v>44</v>
      </c>
      <c r="R43" s="4" t="s">
        <v>47</v>
      </c>
      <c r="S43" s="3"/>
      <c r="T43" s="4" t="s">
        <v>42</v>
      </c>
      <c r="U43" s="4" t="s">
        <v>53</v>
      </c>
      <c r="V43" s="3"/>
      <c r="W43" s="4" t="s">
        <v>54</v>
      </c>
      <c r="X43" s="4" t="s">
        <v>55</v>
      </c>
      <c r="Y43" s="4" t="s">
        <v>56</v>
      </c>
      <c r="Z43" s="3"/>
      <c r="AA43" s="4">
        <v>3.0</v>
      </c>
      <c r="AB43" s="4">
        <v>4.0</v>
      </c>
      <c r="AC43" s="4">
        <v>2.0</v>
      </c>
      <c r="AD43" s="4">
        <v>4.0</v>
      </c>
      <c r="AE43" s="4">
        <v>3.0</v>
      </c>
      <c r="AF43" s="4">
        <v>4.0</v>
      </c>
      <c r="AG43" s="4">
        <v>2.0</v>
      </c>
      <c r="AH43" s="4">
        <f t="shared" si="1"/>
        <v>19223.9231</v>
      </c>
      <c r="AI43" s="5" t="str">
        <f t="shared" si="2"/>
        <v>Obesity</v>
      </c>
      <c r="AJ43" s="5">
        <f t="shared" si="3"/>
        <v>8</v>
      </c>
      <c r="AK43" s="5" t="str">
        <f t="shared" si="4"/>
        <v>4-8 hours</v>
      </c>
    </row>
    <row r="44" ht="22.5" customHeight="1">
      <c r="A44" s="2">
        <v>46014.87807011574</v>
      </c>
      <c r="B44" s="3"/>
      <c r="C44" s="4" t="s">
        <v>37</v>
      </c>
      <c r="D44" s="4" t="s">
        <v>49</v>
      </c>
      <c r="E44" s="4" t="s">
        <v>39</v>
      </c>
      <c r="F44" s="4">
        <v>178.0</v>
      </c>
      <c r="G44" s="4">
        <v>80.0</v>
      </c>
      <c r="H44" s="3"/>
      <c r="I44" s="4" t="s">
        <v>72</v>
      </c>
      <c r="J44" s="4" t="s">
        <v>58</v>
      </c>
      <c r="K44" s="3"/>
      <c r="L44" s="4" t="s">
        <v>51</v>
      </c>
      <c r="M44" s="3"/>
      <c r="N44" s="4" t="s">
        <v>44</v>
      </c>
      <c r="O44" s="3"/>
      <c r="P44" s="4" t="s">
        <v>63</v>
      </c>
      <c r="Q44" s="4" t="s">
        <v>47</v>
      </c>
      <c r="R44" s="4" t="s">
        <v>44</v>
      </c>
      <c r="S44" s="3"/>
      <c r="T44" s="4" t="s">
        <v>51</v>
      </c>
      <c r="U44" s="4" t="s">
        <v>47</v>
      </c>
      <c r="V44" s="3"/>
      <c r="W44" s="4" t="s">
        <v>54</v>
      </c>
      <c r="X44" s="4" t="s">
        <v>55</v>
      </c>
      <c r="Y44" s="4" t="s">
        <v>56</v>
      </c>
      <c r="Z44" s="3"/>
      <c r="AA44" s="4">
        <v>1.0</v>
      </c>
      <c r="AB44" s="4">
        <v>1.0</v>
      </c>
      <c r="AC44" s="4">
        <v>4.0</v>
      </c>
      <c r="AD44" s="4">
        <v>4.0</v>
      </c>
      <c r="AE44" s="4">
        <v>3.0</v>
      </c>
      <c r="AF44" s="4">
        <v>4.0</v>
      </c>
      <c r="AG44" s="4">
        <v>2.0</v>
      </c>
      <c r="AH44" s="4">
        <f t="shared" si="1"/>
        <v>25.2493372</v>
      </c>
      <c r="AI44" s="5" t="str">
        <f t="shared" si="2"/>
        <v>Overweight</v>
      </c>
      <c r="AJ44" s="5">
        <f t="shared" si="3"/>
        <v>3</v>
      </c>
      <c r="AK44" s="5" t="str">
        <f t="shared" si="4"/>
        <v>&lt; 4 hours</v>
      </c>
    </row>
    <row r="45" ht="22.5" customHeight="1">
      <c r="A45" s="2">
        <v>46014.884789247684</v>
      </c>
      <c r="B45" s="3"/>
      <c r="C45" s="4" t="s">
        <v>37</v>
      </c>
      <c r="D45" s="4" t="s">
        <v>38</v>
      </c>
      <c r="E45" s="4" t="s">
        <v>39</v>
      </c>
      <c r="F45" s="4">
        <v>158.0</v>
      </c>
      <c r="G45" s="4">
        <v>53.0</v>
      </c>
      <c r="H45" s="3"/>
      <c r="I45" s="4" t="s">
        <v>40</v>
      </c>
      <c r="J45" s="4" t="s">
        <v>58</v>
      </c>
      <c r="K45" s="3"/>
      <c r="L45" s="4" t="s">
        <v>51</v>
      </c>
      <c r="M45" s="3"/>
      <c r="N45" s="4" t="s">
        <v>47</v>
      </c>
      <c r="O45" s="3"/>
      <c r="P45" s="4" t="s">
        <v>63</v>
      </c>
      <c r="Q45" s="4" t="s">
        <v>46</v>
      </c>
      <c r="R45" s="4" t="s">
        <v>46</v>
      </c>
      <c r="S45" s="3"/>
      <c r="T45" s="4" t="s">
        <v>51</v>
      </c>
      <c r="U45" s="4" t="s">
        <v>53</v>
      </c>
      <c r="V45" s="3"/>
      <c r="W45" s="4" t="s">
        <v>71</v>
      </c>
      <c r="X45" s="4" t="s">
        <v>55</v>
      </c>
      <c r="Y45" s="4" t="s">
        <v>56</v>
      </c>
      <c r="Z45" s="3"/>
      <c r="AA45" s="4">
        <v>4.0</v>
      </c>
      <c r="AB45" s="4">
        <v>2.0</v>
      </c>
      <c r="AC45" s="4">
        <v>5.0</v>
      </c>
      <c r="AD45" s="4">
        <v>3.0</v>
      </c>
      <c r="AE45" s="4">
        <v>5.0</v>
      </c>
      <c r="AF45" s="4">
        <v>3.0</v>
      </c>
      <c r="AG45" s="4">
        <v>5.0</v>
      </c>
      <c r="AH45" s="4">
        <f t="shared" si="1"/>
        <v>21.23057202</v>
      </c>
      <c r="AI45" s="5" t="str">
        <f t="shared" si="2"/>
        <v>Normal weight</v>
      </c>
      <c r="AJ45" s="5">
        <f t="shared" si="3"/>
        <v>8</v>
      </c>
      <c r="AK45" s="5" t="str">
        <f t="shared" si="4"/>
        <v>4-8 hours</v>
      </c>
    </row>
    <row r="46" ht="22.5" customHeight="1">
      <c r="A46" s="2">
        <v>46014.93042310185</v>
      </c>
      <c r="B46" s="3"/>
      <c r="C46" s="4" t="s">
        <v>78</v>
      </c>
      <c r="D46" s="4" t="s">
        <v>49</v>
      </c>
      <c r="E46" s="4" t="s">
        <v>108</v>
      </c>
      <c r="F46" s="4">
        <v>185.0</v>
      </c>
      <c r="G46" s="4">
        <v>95.0</v>
      </c>
      <c r="H46" s="4">
        <v>3.0</v>
      </c>
      <c r="I46" s="4" t="s">
        <v>58</v>
      </c>
      <c r="J46" s="4" t="s">
        <v>58</v>
      </c>
      <c r="K46" s="3"/>
      <c r="L46" s="4" t="s">
        <v>51</v>
      </c>
      <c r="M46" s="3"/>
      <c r="N46" s="4" t="s">
        <v>47</v>
      </c>
      <c r="O46" s="3"/>
      <c r="P46" s="4" t="s">
        <v>52</v>
      </c>
      <c r="Q46" s="4" t="s">
        <v>60</v>
      </c>
      <c r="R46" s="4" t="s">
        <v>44</v>
      </c>
      <c r="S46" s="3"/>
      <c r="T46" s="4" t="s">
        <v>42</v>
      </c>
      <c r="U46" s="4" t="s">
        <v>67</v>
      </c>
      <c r="V46" s="3"/>
      <c r="W46" s="4" t="s">
        <v>54</v>
      </c>
      <c r="X46" s="4" t="s">
        <v>46</v>
      </c>
      <c r="Y46" s="4" t="s">
        <v>44</v>
      </c>
      <c r="Z46" s="3"/>
      <c r="AA46" s="4">
        <v>1.0</v>
      </c>
      <c r="AB46" s="4">
        <v>1.0</v>
      </c>
      <c r="AC46" s="4">
        <v>1.0</v>
      </c>
      <c r="AD46" s="4">
        <v>1.0</v>
      </c>
      <c r="AE46" s="4">
        <v>3.0</v>
      </c>
      <c r="AF46" s="4">
        <v>1.0</v>
      </c>
      <c r="AG46" s="4">
        <v>2.0</v>
      </c>
      <c r="AH46" s="4">
        <f t="shared" si="1"/>
        <v>27.75748722</v>
      </c>
      <c r="AI46" s="5" t="str">
        <f t="shared" si="2"/>
        <v>Overweight</v>
      </c>
      <c r="AJ46" s="5">
        <f t="shared" si="3"/>
        <v>6</v>
      </c>
      <c r="AK46" s="5" t="str">
        <f t="shared" si="4"/>
        <v>4-8 hours</v>
      </c>
    </row>
    <row r="47" ht="22.5" customHeight="1">
      <c r="A47" s="2">
        <v>46014.930443680554</v>
      </c>
      <c r="B47" s="3"/>
      <c r="C47" s="4" t="s">
        <v>86</v>
      </c>
      <c r="D47" s="4" t="s">
        <v>38</v>
      </c>
      <c r="E47" s="4" t="s">
        <v>109</v>
      </c>
      <c r="F47" s="4">
        <v>170.0</v>
      </c>
      <c r="G47" s="4">
        <v>75.0</v>
      </c>
      <c r="H47" s="4">
        <v>2.0</v>
      </c>
      <c r="I47" s="4" t="s">
        <v>58</v>
      </c>
      <c r="J47" s="4" t="s">
        <v>40</v>
      </c>
      <c r="K47" s="3"/>
      <c r="L47" s="4" t="s">
        <v>51</v>
      </c>
      <c r="M47" s="3"/>
      <c r="N47" s="4" t="s">
        <v>47</v>
      </c>
      <c r="O47" s="3"/>
      <c r="P47" s="4" t="s">
        <v>45</v>
      </c>
      <c r="Q47" s="4" t="s">
        <v>60</v>
      </c>
      <c r="R47" s="4" t="s">
        <v>44</v>
      </c>
      <c r="S47" s="3"/>
      <c r="T47" s="4" t="s">
        <v>42</v>
      </c>
      <c r="U47" s="4" t="s">
        <v>67</v>
      </c>
      <c r="V47" s="3"/>
      <c r="W47" s="4" t="s">
        <v>71</v>
      </c>
      <c r="X47" s="4" t="s">
        <v>46</v>
      </c>
      <c r="Y47" s="4" t="s">
        <v>60</v>
      </c>
      <c r="Z47" s="3"/>
      <c r="AA47" s="4">
        <v>1.0</v>
      </c>
      <c r="AB47" s="4">
        <v>1.0</v>
      </c>
      <c r="AC47" s="4">
        <v>1.0</v>
      </c>
      <c r="AD47" s="4">
        <v>1.0</v>
      </c>
      <c r="AE47" s="4">
        <v>5.0</v>
      </c>
      <c r="AF47" s="4">
        <v>1.0</v>
      </c>
      <c r="AG47" s="4">
        <v>2.0</v>
      </c>
      <c r="AH47" s="4">
        <f t="shared" si="1"/>
        <v>25.95155709</v>
      </c>
      <c r="AI47" s="5" t="str">
        <f t="shared" si="2"/>
        <v>Overweight</v>
      </c>
      <c r="AJ47" s="5">
        <f t="shared" si="3"/>
        <v>8</v>
      </c>
      <c r="AK47" s="5" t="str">
        <f t="shared" si="4"/>
        <v>4-8 hours</v>
      </c>
    </row>
    <row r="48" ht="22.5" customHeight="1">
      <c r="A48" s="2">
        <v>46015.959430682866</v>
      </c>
      <c r="B48" s="3"/>
      <c r="C48" s="4" t="s">
        <v>86</v>
      </c>
      <c r="D48" s="4" t="s">
        <v>38</v>
      </c>
      <c r="E48" s="4" t="s">
        <v>110</v>
      </c>
      <c r="F48" s="4">
        <v>156.0</v>
      </c>
      <c r="G48" s="4">
        <v>65.0</v>
      </c>
      <c r="H48" s="3"/>
      <c r="I48" s="4" t="s">
        <v>58</v>
      </c>
      <c r="J48" s="4" t="s">
        <v>58</v>
      </c>
      <c r="K48" s="3"/>
      <c r="L48" s="4" t="s">
        <v>51</v>
      </c>
      <c r="M48" s="3"/>
      <c r="N48" s="4" t="s">
        <v>60</v>
      </c>
      <c r="O48" s="3"/>
      <c r="P48" s="4" t="s">
        <v>52</v>
      </c>
      <c r="Q48" s="4" t="s">
        <v>47</v>
      </c>
      <c r="R48" s="4" t="s">
        <v>47</v>
      </c>
      <c r="S48" s="3"/>
      <c r="T48" s="4" t="s">
        <v>42</v>
      </c>
      <c r="U48" s="4" t="s">
        <v>53</v>
      </c>
      <c r="V48" s="3"/>
      <c r="W48" s="4" t="s">
        <v>48</v>
      </c>
      <c r="X48" s="4" t="s">
        <v>47</v>
      </c>
      <c r="Y48" s="4" t="s">
        <v>47</v>
      </c>
      <c r="Z48" s="3"/>
      <c r="AA48" s="4">
        <v>3.0</v>
      </c>
      <c r="AB48" s="4">
        <v>5.0</v>
      </c>
      <c r="AC48" s="4">
        <v>2.0</v>
      </c>
      <c r="AD48" s="4">
        <v>4.0</v>
      </c>
      <c r="AE48" s="4">
        <v>4.0</v>
      </c>
      <c r="AF48" s="4">
        <v>1.0</v>
      </c>
      <c r="AG48" s="4">
        <v>4.0</v>
      </c>
      <c r="AH48" s="4">
        <f t="shared" si="1"/>
        <v>26.70940171</v>
      </c>
      <c r="AI48" s="5" t="str">
        <f t="shared" si="2"/>
        <v>Overweight</v>
      </c>
      <c r="AJ48" s="5">
        <f t="shared" si="3"/>
        <v>6</v>
      </c>
      <c r="AK48" s="5" t="str">
        <f t="shared" si="4"/>
        <v>4-8 hours</v>
      </c>
    </row>
    <row r="49" ht="22.5" customHeight="1">
      <c r="A49" s="2">
        <v>46016.538100949074</v>
      </c>
      <c r="B49" s="3"/>
      <c r="C49" s="4" t="s">
        <v>101</v>
      </c>
      <c r="D49" s="4" t="s">
        <v>38</v>
      </c>
      <c r="E49" s="4" t="s">
        <v>111</v>
      </c>
      <c r="F49" s="4">
        <v>170.0</v>
      </c>
      <c r="G49" s="4">
        <v>95.0</v>
      </c>
      <c r="H49" s="4" t="s">
        <v>112</v>
      </c>
      <c r="I49" s="4" t="s">
        <v>58</v>
      </c>
      <c r="J49" s="4" t="s">
        <v>50</v>
      </c>
      <c r="K49" s="4" t="s">
        <v>51</v>
      </c>
      <c r="L49" s="4" t="s">
        <v>51</v>
      </c>
      <c r="M49" s="3"/>
      <c r="N49" s="4" t="s">
        <v>44</v>
      </c>
      <c r="O49" s="3"/>
      <c r="P49" s="4" t="s">
        <v>52</v>
      </c>
      <c r="Q49" s="4" t="s">
        <v>47</v>
      </c>
      <c r="R49" s="4" t="s">
        <v>47</v>
      </c>
      <c r="S49" s="3"/>
      <c r="T49" s="4" t="s">
        <v>42</v>
      </c>
      <c r="U49" s="4" t="s">
        <v>53</v>
      </c>
      <c r="V49" s="3"/>
      <c r="W49" s="4" t="s">
        <v>72</v>
      </c>
      <c r="X49" s="4" t="s">
        <v>47</v>
      </c>
      <c r="Y49" s="4" t="s">
        <v>60</v>
      </c>
      <c r="Z49" s="3"/>
      <c r="AA49" s="4">
        <v>1.0</v>
      </c>
      <c r="AB49" s="4">
        <v>1.0</v>
      </c>
      <c r="AC49" s="4">
        <v>1.0</v>
      </c>
      <c r="AD49" s="4">
        <v>1.0</v>
      </c>
      <c r="AE49" s="4">
        <v>1.0</v>
      </c>
      <c r="AF49" s="4">
        <v>1.0</v>
      </c>
      <c r="AG49" s="4">
        <v>1.0</v>
      </c>
      <c r="AH49" s="4">
        <f t="shared" si="1"/>
        <v>32.87197232</v>
      </c>
      <c r="AI49" s="5" t="str">
        <f t="shared" si="2"/>
        <v>Obesity</v>
      </c>
      <c r="AJ49" s="5">
        <f t="shared" si="3"/>
        <v>4</v>
      </c>
      <c r="AK49" s="5" t="str">
        <f t="shared" si="4"/>
        <v>4-8 hours</v>
      </c>
    </row>
    <row r="50" ht="22.5" customHeight="1">
      <c r="A50" s="2">
        <v>46017.14349263889</v>
      </c>
      <c r="B50" s="4" t="s">
        <v>113</v>
      </c>
      <c r="C50" s="4" t="s">
        <v>37</v>
      </c>
      <c r="D50" s="4" t="s">
        <v>38</v>
      </c>
      <c r="E50" s="4" t="s">
        <v>39</v>
      </c>
      <c r="F50" s="4">
        <v>150.0</v>
      </c>
      <c r="G50" s="4">
        <v>52.0</v>
      </c>
      <c r="H50" s="4" t="s">
        <v>114</v>
      </c>
      <c r="I50" s="4" t="s">
        <v>41</v>
      </c>
      <c r="J50" s="4" t="s">
        <v>58</v>
      </c>
      <c r="K50" s="4" t="s">
        <v>115</v>
      </c>
      <c r="L50" s="4" t="s">
        <v>42</v>
      </c>
      <c r="M50" s="4">
        <v>-1.0</v>
      </c>
      <c r="N50" s="4" t="s">
        <v>44</v>
      </c>
      <c r="O50" s="4" t="s">
        <v>114</v>
      </c>
      <c r="P50" s="4" t="s">
        <v>59</v>
      </c>
      <c r="Q50" s="4" t="s">
        <v>47</v>
      </c>
      <c r="R50" s="4" t="s">
        <v>47</v>
      </c>
      <c r="S50" s="4" t="s">
        <v>114</v>
      </c>
      <c r="T50" s="4" t="s">
        <v>42</v>
      </c>
      <c r="U50" s="4" t="s">
        <v>76</v>
      </c>
      <c r="V50" s="3"/>
      <c r="W50" s="4" t="s">
        <v>77</v>
      </c>
      <c r="X50" s="4" t="s">
        <v>55</v>
      </c>
      <c r="Y50" s="4" t="s">
        <v>56</v>
      </c>
      <c r="Z50" s="3"/>
      <c r="AA50" s="4">
        <v>2.0</v>
      </c>
      <c r="AB50" s="4">
        <v>2.0</v>
      </c>
      <c r="AC50" s="4">
        <v>1.0</v>
      </c>
      <c r="AD50" s="4">
        <v>1.0</v>
      </c>
      <c r="AE50" s="4">
        <v>2.0</v>
      </c>
      <c r="AF50" s="4">
        <v>2.0</v>
      </c>
      <c r="AG50" s="4">
        <v>1.0</v>
      </c>
      <c r="AH50" s="4">
        <f t="shared" si="1"/>
        <v>23.11111111</v>
      </c>
      <c r="AI50" s="5" t="str">
        <f t="shared" si="2"/>
        <v>Normal weight</v>
      </c>
      <c r="AJ50" s="5">
        <f t="shared" si="3"/>
        <v>10</v>
      </c>
      <c r="AK50" s="5" t="str">
        <f t="shared" si="4"/>
        <v>8-12 hours</v>
      </c>
    </row>
    <row r="51" ht="22.5" customHeight="1">
      <c r="A51" s="2">
        <v>46019.85247196759</v>
      </c>
      <c r="B51" s="3"/>
      <c r="C51" s="4" t="s">
        <v>37</v>
      </c>
      <c r="D51" s="4" t="s">
        <v>49</v>
      </c>
      <c r="E51" s="4" t="s">
        <v>39</v>
      </c>
      <c r="F51" s="4">
        <v>180.0</v>
      </c>
      <c r="G51" s="4">
        <v>63.2</v>
      </c>
      <c r="H51" s="3"/>
      <c r="I51" s="4" t="s">
        <v>50</v>
      </c>
      <c r="J51" s="4" t="s">
        <v>50</v>
      </c>
      <c r="K51" s="3"/>
      <c r="L51" s="4" t="s">
        <v>51</v>
      </c>
      <c r="M51" s="3"/>
      <c r="N51" s="4" t="s">
        <v>47</v>
      </c>
      <c r="O51" s="3"/>
      <c r="P51" s="4" t="s">
        <v>52</v>
      </c>
      <c r="Q51" s="4" t="s">
        <v>46</v>
      </c>
      <c r="R51" s="4" t="s">
        <v>47</v>
      </c>
      <c r="S51" s="3"/>
      <c r="T51" s="4" t="s">
        <v>51</v>
      </c>
      <c r="U51" s="4" t="s">
        <v>76</v>
      </c>
      <c r="V51" s="3"/>
      <c r="W51" s="4" t="s">
        <v>48</v>
      </c>
      <c r="X51" s="4" t="s">
        <v>55</v>
      </c>
      <c r="Y51" s="4" t="s">
        <v>60</v>
      </c>
      <c r="Z51" s="3"/>
      <c r="AA51" s="4">
        <v>4.0</v>
      </c>
      <c r="AB51" s="4">
        <v>1.0</v>
      </c>
      <c r="AC51" s="4">
        <v>3.0</v>
      </c>
      <c r="AD51" s="4">
        <v>4.0</v>
      </c>
      <c r="AE51" s="4">
        <v>4.0</v>
      </c>
      <c r="AF51" s="4">
        <v>4.0</v>
      </c>
      <c r="AG51" s="4">
        <v>4.0</v>
      </c>
      <c r="AH51" s="4">
        <f t="shared" si="1"/>
        <v>19.50617284</v>
      </c>
      <c r="AI51" s="5" t="str">
        <f t="shared" si="2"/>
        <v>Normal weight</v>
      </c>
      <c r="AJ51" s="5">
        <f t="shared" si="3"/>
        <v>2</v>
      </c>
      <c r="AK51" s="5" t="str">
        <f t="shared" si="4"/>
        <v>&lt; 4 hours</v>
      </c>
    </row>
    <row r="53">
      <c r="Z53" s="6" t="s">
        <v>116</v>
      </c>
      <c r="AA53" s="7">
        <f>AVERAGE(Form_Responses[Please rate your agreement with the following statements on a scale of 1 to 5. '[I find it difficult to concentrate on tasks due to a desire to check my screen.']])</f>
        <v>2.98</v>
      </c>
      <c r="AB53" s="7">
        <f>AVERAGE(Form_Responses[Please rate your agreement with the following statements on a scale of 1 to 5. '[I often prioritize screen time over real-world social interactions or responsibilities.']])</f>
        <v>2.46</v>
      </c>
      <c r="AC53" s="7">
        <f>AVERAGE(Form_Responses[Please rate your agreement with the following statements on a scale of 1 to 5. '[I feel isolated or disconnected from others despite being constantly connected online.']])</f>
        <v>2.52</v>
      </c>
      <c r="AD53" s="7">
        <f>AVERAGE(Form_Responses[Please rate your agreement with the following statements on a scale of 1 to 5. '[I often stay up later than intended because of screen use.']])</f>
        <v>2.8</v>
      </c>
      <c r="AE53" s="7">
        <f>AVERAGE(Form_Responses[Please rate your agreement with the following statements on a scale of 1 to 5. '[I feel a sense of guilt or regret about my screen time habits.']])</f>
        <v>3.24</v>
      </c>
      <c r="AF53" s="7">
        <f>AVERAGE(Form_Responses[Please rate your agreement with the following statements on a scale of 1 to 5. '[I believe excessive screen time negatively affects my mood.']])</f>
        <v>3.12</v>
      </c>
      <c r="AG53" s="7">
        <f>AVERAGE(Form_Responses[Please rate your agreement with the following statements on a scale of 1 to 5. '[I feel overwhelmed by the amount of information consumed online.']])</f>
        <v>3.06</v>
      </c>
    </row>
    <row r="54">
      <c r="Z54" s="6" t="s">
        <v>117</v>
      </c>
      <c r="AA54" s="7">
        <f>MEDIAN(Form_Responses[Please rate your agreement with the following statements on a scale of 1 to 5. '[I find it difficult to concentrate on tasks due to a desire to check my screen.']])</f>
        <v>3</v>
      </c>
      <c r="AB54" s="7">
        <f>MEDIAN(Form_Responses[Please rate your agreement with the following statements on a scale of 1 to 5. '[I often prioritize screen time over real-world social interactions or responsibilities.']])</f>
        <v>2</v>
      </c>
      <c r="AC54" s="7">
        <f>MEDIAN(Form_Responses[Please rate your agreement with the following statements on a scale of 1 to 5. '[I feel isolated or disconnected from others despite being constantly connected online.']])</f>
        <v>2</v>
      </c>
      <c r="AD54" s="7">
        <f>MEDIAN(Form_Responses[Please rate your agreement with the following statements on a scale of 1 to 5. '[I often stay up later than intended because of screen use.']])</f>
        <v>3</v>
      </c>
      <c r="AE54" s="7">
        <f>MEDIAN(Form_Responses[Please rate your agreement with the following statements on a scale of 1 to 5. '[I feel a sense of guilt or regret about my screen time habits.']])</f>
        <v>3</v>
      </c>
      <c r="AF54" s="7">
        <f>MEDIAN(Form_Responses[Please rate your agreement with the following statements on a scale of 1 to 5. '[I believe excessive screen time negatively affects my mood.']])</f>
        <v>3</v>
      </c>
      <c r="AG54" s="7">
        <f>MEDIAN(Form_Responses[Please rate your agreement with the following statements on a scale of 1 to 5. '[I feel overwhelmed by the amount of information consumed online.']])</f>
        <v>3</v>
      </c>
    </row>
    <row r="55">
      <c r="Z55" s="6" t="s">
        <v>118</v>
      </c>
      <c r="AA55" s="7">
        <f>mode(Form_Responses[Please rate your agreement with the following statements on a scale of 1 to 5. '[I find it difficult to concentrate on tasks due to a desire to check my screen.']])</f>
        <v>2</v>
      </c>
      <c r="AB55" s="7">
        <f t="shared" ref="AB55:AG55" si="5">mode(AB2:AB51)</f>
        <v>1</v>
      </c>
      <c r="AC55" s="7">
        <f t="shared" si="5"/>
        <v>1</v>
      </c>
      <c r="AD55" s="7">
        <f t="shared" si="5"/>
        <v>1</v>
      </c>
      <c r="AE55" s="7">
        <f t="shared" si="5"/>
        <v>5</v>
      </c>
      <c r="AF55" s="7">
        <f t="shared" si="5"/>
        <v>2</v>
      </c>
      <c r="AG55" s="7">
        <f t="shared" si="5"/>
        <v>2</v>
      </c>
    </row>
  </sheetData>
  <drawing r:id="rId1"/>
  <tableParts count="1">
    <tablePart r:id="rId3"/>
  </tableParts>
</worksheet>
</file>

<file path=xl/worksheets/sheet2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sheetData>
    <row r="1"/>
    <row r="2"/>
    <row r="3"/>
    <row r="4"/>
    <row r="5"/>
    <row r="6"/>
    <row r="7"/>
  </sheetData>
  <drawing r:id="rId2"/>
</worksheet>
</file>